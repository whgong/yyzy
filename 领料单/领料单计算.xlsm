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3375" windowWidth="19620" windowHeight="3435" tabRatio="943"/>
  </bookViews>
  <sheets>
    <sheet name="日投料批次" sheetId="33" r:id="rId1"/>
    <sheet name="领料单" sheetId="34" r:id="rId2"/>
    <sheet name="配置" sheetId="35" r:id="rId3"/>
    <sheet name="55#红双喜（高扬自营）" sheetId="39" r:id="rId4"/>
    <sheet name="99#红双喜（8mg高扬自营）" sheetId="38" r:id="rId5"/>
  </sheets>
  <functionGroups/>
  <calcPr calcId="124519"/>
</workbook>
</file>

<file path=xl/calcChain.xml><?xml version="1.0" encoding="utf-8"?>
<calcChain xmlns="http://schemas.openxmlformats.org/spreadsheetml/2006/main">
  <c r="D30" i="39"/>
  <c r="G30"/>
  <c r="J30"/>
  <c r="M30"/>
  <c r="G21" i="38"/>
  <c r="J21"/>
  <c r="M21"/>
  <c r="P21"/>
  <c r="S21"/>
  <c r="V21"/>
  <c r="Y21"/>
  <c r="AB21"/>
  <c r="AE21"/>
  <c r="AH21"/>
  <c r="AK21"/>
  <c r="D21"/>
  <c r="C35" i="33" l="1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</calcChain>
</file>

<file path=xl/sharedStrings.xml><?xml version="1.0" encoding="utf-8"?>
<sst xmlns="http://schemas.openxmlformats.org/spreadsheetml/2006/main" count="969" uniqueCount="222">
  <si>
    <t>烟叶名称</t>
  </si>
  <si>
    <t>烟叶批次</t>
  </si>
  <si>
    <t>11河南X21</t>
  </si>
  <si>
    <t>09四川B33</t>
  </si>
  <si>
    <t>10河南B33</t>
  </si>
  <si>
    <t>10云南红河B33</t>
  </si>
  <si>
    <t>09云南文山X2F</t>
  </si>
  <si>
    <t>09云南曲靖B3F</t>
  </si>
  <si>
    <t>12江苏纸质薄片烤烟型</t>
  </si>
  <si>
    <t>单批箱数</t>
    <phoneticPr fontId="1" type="noConversion"/>
  </si>
  <si>
    <t>烟叶批次</t>
    <phoneticPr fontId="1" type="noConversion"/>
  </si>
  <si>
    <t>11贵州C4F(次)</t>
  </si>
  <si>
    <t>10贵州B33</t>
  </si>
  <si>
    <t>09云南曲靖X3F</t>
  </si>
  <si>
    <t>09云南红河B33</t>
  </si>
  <si>
    <t>10福建X22</t>
  </si>
  <si>
    <t>09四川X4F</t>
  </si>
  <si>
    <t>10黑龙江C31</t>
  </si>
  <si>
    <t>11湖南B21</t>
  </si>
  <si>
    <t>10云南昆明BC2</t>
  </si>
  <si>
    <t>11贵州B22</t>
  </si>
  <si>
    <t>10福建C32</t>
  </si>
  <si>
    <t>11黑龙江B22</t>
  </si>
  <si>
    <t>09黑龙江C32</t>
  </si>
  <si>
    <t>09马拉维ML-F1L/T</t>
  </si>
  <si>
    <t>11河南C32</t>
  </si>
  <si>
    <t>10贵州C32</t>
  </si>
  <si>
    <t>10贵州C3F</t>
  </si>
  <si>
    <t>11江苏纸质薄片S烤烟型</t>
  </si>
  <si>
    <t>09云南昆明B22</t>
  </si>
  <si>
    <t>10巴西MO1/S</t>
  </si>
  <si>
    <t>10湖南C32</t>
  </si>
  <si>
    <t>09云南昆明C32</t>
  </si>
  <si>
    <t>11云南红河C31</t>
  </si>
  <si>
    <t>11四川C4F(次)</t>
  </si>
  <si>
    <t>09湖南B22</t>
  </si>
  <si>
    <t>11河南C31</t>
  </si>
  <si>
    <t>10云南文山B22</t>
  </si>
  <si>
    <t>11云南文山C32</t>
  </si>
  <si>
    <t>10云南楚雄B22</t>
  </si>
  <si>
    <t>11云南曲靖B21</t>
  </si>
  <si>
    <t>10津巴布韦LOF</t>
  </si>
  <si>
    <t>12无品名纸质薄片P烤烟型</t>
  </si>
  <si>
    <t>11河南C(挑)</t>
  </si>
  <si>
    <t>11山东C(挑)</t>
  </si>
  <si>
    <t>10云南曲靖C2F(挑)</t>
  </si>
  <si>
    <t>11云南丽江C(挑)</t>
  </si>
  <si>
    <t>10云南文山C(挑)</t>
  </si>
  <si>
    <t>11贵州X21</t>
  </si>
  <si>
    <t>11贵州C(挑)</t>
  </si>
  <si>
    <t>11福建C(挑)</t>
  </si>
  <si>
    <t>11四川C(挑)</t>
  </si>
  <si>
    <t>10吉林C(挑)</t>
  </si>
  <si>
    <t>11湖南C(挑)</t>
  </si>
  <si>
    <t>11云南红河C(挑)</t>
  </si>
  <si>
    <t>11云南昆明X21</t>
  </si>
  <si>
    <t>11四川X21</t>
  </si>
  <si>
    <t>11巴西MBO-SH</t>
  </si>
  <si>
    <t>11津巴布韦C1LA</t>
  </si>
  <si>
    <t>10美国R-CO1-C</t>
  </si>
  <si>
    <t>11云南昆明C(挑)</t>
  </si>
  <si>
    <t>11辽宁C(挑)</t>
  </si>
  <si>
    <t>08湖南B22</t>
  </si>
  <si>
    <t>11福建C4F(次)</t>
  </si>
  <si>
    <t>11辽宁C4F(次)</t>
  </si>
  <si>
    <t>11云南文山C4F(次)</t>
  </si>
  <si>
    <t>11河南C4F(次)</t>
  </si>
  <si>
    <t>11云南曲靖C4F(次)</t>
  </si>
  <si>
    <t>11湖南C4F(次)</t>
  </si>
  <si>
    <t>10云南红河C32</t>
  </si>
  <si>
    <t>10云南文山C32</t>
  </si>
  <si>
    <t>08云南曲靖B2F</t>
  </si>
  <si>
    <t>1日</t>
    <phoneticPr fontId="1" type="noConversion"/>
  </si>
  <si>
    <t>2日</t>
  </si>
  <si>
    <t>3日</t>
  </si>
  <si>
    <t>4日</t>
  </si>
  <si>
    <t>5日</t>
  </si>
  <si>
    <t>6日</t>
  </si>
  <si>
    <t>7日</t>
  </si>
  <si>
    <t>8日</t>
  </si>
  <si>
    <t>9日</t>
  </si>
  <si>
    <t>10日</t>
  </si>
  <si>
    <t>11日</t>
  </si>
  <si>
    <t>12日</t>
  </si>
  <si>
    <t>13日</t>
  </si>
  <si>
    <t>14日</t>
  </si>
  <si>
    <t>15日</t>
  </si>
  <si>
    <t>16日</t>
  </si>
  <si>
    <t>17日</t>
  </si>
  <si>
    <t>18日</t>
  </si>
  <si>
    <t>19日</t>
  </si>
  <si>
    <t>20日</t>
  </si>
  <si>
    <t>21日</t>
  </si>
  <si>
    <t>22日</t>
  </si>
  <si>
    <t>23日</t>
  </si>
  <si>
    <t>24日</t>
  </si>
  <si>
    <t>25日</t>
  </si>
  <si>
    <t>26日</t>
  </si>
  <si>
    <t>27日</t>
  </si>
  <si>
    <t>28日</t>
  </si>
  <si>
    <t>29日</t>
  </si>
  <si>
    <t>30日</t>
  </si>
  <si>
    <t>31日</t>
  </si>
  <si>
    <t>牌号   \   日期</t>
    <phoneticPr fontId="1" type="noConversion"/>
  </si>
  <si>
    <t>15#软包大前门</t>
  </si>
  <si>
    <t>80#大前门</t>
  </si>
  <si>
    <t>94#牡丹(外)</t>
  </si>
  <si>
    <t xml:space="preserve">54#红双喜 </t>
  </si>
  <si>
    <t xml:space="preserve">56#北方双喜 </t>
  </si>
  <si>
    <t>97#红双喜(低)</t>
  </si>
  <si>
    <t>20#红双喜</t>
  </si>
  <si>
    <t>95#中华</t>
  </si>
  <si>
    <t>35#软包中华</t>
  </si>
  <si>
    <t>25#中华</t>
  </si>
  <si>
    <t xml:space="preserve">18#中华5000 </t>
  </si>
  <si>
    <t>28#中华</t>
  </si>
  <si>
    <t>60#中华(大中华)</t>
  </si>
  <si>
    <t xml:space="preserve">51#熊猫 </t>
  </si>
  <si>
    <t>52#熊猫</t>
  </si>
  <si>
    <t>1#膨丝</t>
  </si>
  <si>
    <t>2#膨丝</t>
  </si>
  <si>
    <t>5#梗</t>
  </si>
  <si>
    <t>94#牡丹(高扬)</t>
  </si>
  <si>
    <t xml:space="preserve">98#红双喜(8mg)  </t>
  </si>
  <si>
    <t>17#金鹿</t>
  </si>
  <si>
    <t>54#红双喜（高扬）</t>
  </si>
  <si>
    <t>7#金鹿</t>
  </si>
  <si>
    <t>27#金鹿</t>
  </si>
  <si>
    <t>37#金鹿</t>
  </si>
  <si>
    <t>87#金鹿</t>
  </si>
  <si>
    <t>57#金鹿</t>
  </si>
  <si>
    <t>85#红双喜（硬尚派）</t>
  </si>
  <si>
    <t>58#红双喜（硬星派）</t>
  </si>
  <si>
    <t xml:space="preserve">23#金鹿  </t>
  </si>
  <si>
    <t>计算</t>
  </si>
  <si>
    <t>XXX日</t>
    <phoneticPr fontId="1" type="noConversion"/>
  </si>
  <si>
    <t>XXX配方</t>
    <phoneticPr fontId="1" type="noConversion"/>
  </si>
  <si>
    <t>领料单</t>
    <phoneticPr fontId="1" type="noConversion"/>
  </si>
  <si>
    <t>领料单模板 分牌号</t>
    <phoneticPr fontId="1" type="noConversion"/>
  </si>
  <si>
    <t>总投产批次</t>
    <phoneticPr fontId="1" type="noConversion"/>
  </si>
  <si>
    <t>XXX</t>
    <phoneticPr fontId="1" type="noConversion"/>
  </si>
  <si>
    <t>烟叶</t>
    <phoneticPr fontId="1" type="noConversion"/>
  </si>
  <si>
    <t>批次</t>
    <phoneticPr fontId="1" type="noConversion"/>
  </si>
  <si>
    <t>数量</t>
    <phoneticPr fontId="1" type="noConversion"/>
  </si>
  <si>
    <t>领料单模板 全牌号</t>
    <phoneticPr fontId="1" type="noConversion"/>
  </si>
  <si>
    <t>全牌号</t>
    <phoneticPr fontId="1" type="noConversion"/>
  </si>
  <si>
    <t>44#大样试验</t>
  </si>
  <si>
    <t>第1批</t>
  </si>
  <si>
    <t>领料情况</t>
    <phoneticPr fontId="1" type="noConversion"/>
  </si>
  <si>
    <t>月计划批次</t>
    <phoneticPr fontId="1" type="noConversion"/>
  </si>
  <si>
    <t>2013年9月1日</t>
    <phoneticPr fontId="1" type="noConversion"/>
  </si>
  <si>
    <t>80#大前门</t>
    <phoneticPr fontId="1" type="noConversion"/>
  </si>
  <si>
    <t>95#中华</t>
    <phoneticPr fontId="1" type="noConversion"/>
  </si>
  <si>
    <t>2#膨丝</t>
    <phoneticPr fontId="1" type="noConversion"/>
  </si>
  <si>
    <t>54#红双喜（高扬）</t>
    <phoneticPr fontId="1" type="noConversion"/>
  </si>
  <si>
    <t>全牌号</t>
    <phoneticPr fontId="1" type="noConversion"/>
  </si>
  <si>
    <t>11河南C31烤烟</t>
  </si>
  <si>
    <t>09山东B2T2烤烟</t>
  </si>
  <si>
    <t>12山东C32烤烟</t>
  </si>
  <si>
    <t>09云南红河C3F烤烟</t>
  </si>
  <si>
    <t>09云南临沧B2F烤烟</t>
  </si>
  <si>
    <t>12云南曲靖C32烤烟</t>
  </si>
  <si>
    <t>10云南丽江B2F烤烟</t>
  </si>
  <si>
    <t>11贵州HC/S烤烟</t>
  </si>
  <si>
    <t>10贵州C3F烤烟</t>
  </si>
  <si>
    <t>12贵州B2T2烤烟</t>
  </si>
  <si>
    <t>09四川B3T烤烟</t>
  </si>
  <si>
    <t>10江西C31烤烟</t>
  </si>
  <si>
    <t>11广西二级晒黄烟</t>
  </si>
  <si>
    <t>10津巴布韦L1OB烤烟</t>
  </si>
  <si>
    <t>10阿根廷A/BOA/S烤烟</t>
  </si>
  <si>
    <t>12江苏纸质薄片S烤烟型造纸法薄片</t>
  </si>
  <si>
    <t>编号：1 批次：1--9  合计9批</t>
    <phoneticPr fontId="1" type="noConversion"/>
  </si>
  <si>
    <t>10津巴布韦L1AF烤烟</t>
  </si>
  <si>
    <t>11阿根廷B12O烤烟</t>
  </si>
  <si>
    <t>编号：2 批次：10--17  合计8批</t>
    <phoneticPr fontId="1" type="noConversion"/>
  </si>
  <si>
    <t>编号：3 批次：18--26  合计9批</t>
    <phoneticPr fontId="1" type="noConversion"/>
  </si>
  <si>
    <t>11云南丽江B11烤烟</t>
  </si>
  <si>
    <t>11贵州C4F(次)烤烟</t>
  </si>
  <si>
    <t>编号：6 批次：48--49  合计2批</t>
    <phoneticPr fontId="1" type="noConversion"/>
  </si>
  <si>
    <t>12云南曲靖C31烤烟</t>
  </si>
  <si>
    <t>编号：7 批次：50--54  合计5批</t>
    <phoneticPr fontId="1" type="noConversion"/>
  </si>
  <si>
    <t>12云南红河C32烤烟</t>
  </si>
  <si>
    <t>编号：8 批次：55--57  合计3批</t>
    <phoneticPr fontId="1" type="noConversion"/>
  </si>
  <si>
    <t>10津巴布韦TC1LA烤烟</t>
  </si>
  <si>
    <t>编号：9 批次：58--61 合计4批</t>
    <phoneticPr fontId="1" type="noConversion"/>
  </si>
  <si>
    <t>12河南C31烤烟</t>
  </si>
  <si>
    <t>12湖北C4F烤烟</t>
  </si>
  <si>
    <t>编号：11 批次：71--75 合计5批</t>
    <phoneticPr fontId="1" type="noConversion"/>
  </si>
  <si>
    <t>11云南丽江B2烤烟</t>
  </si>
  <si>
    <t>编号：12 批次：76--85 合计10批</t>
    <phoneticPr fontId="1" type="noConversion"/>
  </si>
  <si>
    <t>11四川B2T2烤烟</t>
  </si>
  <si>
    <t xml:space="preserve">2013-9 批次配方单数据 99#红双喜（8mg高扬自营） 总批次：85 </t>
    <phoneticPr fontId="1" type="noConversion"/>
  </si>
  <si>
    <t>编号：1 批次：1--40 合计40批</t>
    <phoneticPr fontId="1" type="noConversion"/>
  </si>
  <si>
    <t>12河南C32烤烟</t>
  </si>
  <si>
    <t>11山东C31烤烟</t>
  </si>
  <si>
    <t>10山东C31烤烟</t>
  </si>
  <si>
    <t>11云南昆明B22烤烟</t>
  </si>
  <si>
    <t>12云南红河B33烤烟</t>
  </si>
  <si>
    <t>11云南文山B22烤烟</t>
  </si>
  <si>
    <t>12云南文山C31烤烟</t>
  </si>
  <si>
    <t>12贵州B2T1烤烟</t>
  </si>
  <si>
    <t>12贵州C4F(次)烤烟</t>
  </si>
  <si>
    <t>12福建B22烤烟</t>
  </si>
  <si>
    <t>09四川X4F烤烟</t>
  </si>
  <si>
    <t>12黑龙江C31烤烟</t>
  </si>
  <si>
    <t>11黑龙江B2T1烤烟</t>
  </si>
  <si>
    <t>10安徽B2T2烤烟</t>
  </si>
  <si>
    <t>12湖南X21烤烟</t>
  </si>
  <si>
    <t>11巴西MO1/S烤烟</t>
  </si>
  <si>
    <t>11津巴布韦C1OA烤烟</t>
  </si>
  <si>
    <t>编号：2 批次：41--54  合计14批</t>
    <phoneticPr fontId="1" type="noConversion"/>
  </si>
  <si>
    <t>编号：3 批次：55--63 合计9批</t>
    <phoneticPr fontId="1" type="noConversion"/>
  </si>
  <si>
    <t>11云南文山B11烤烟</t>
  </si>
  <si>
    <t>10四川X4F烤烟</t>
  </si>
  <si>
    <t>烟叶批次</t>
    <phoneticPr fontId="1" type="noConversion"/>
  </si>
  <si>
    <t>单批箱数</t>
    <phoneticPr fontId="1" type="noConversion"/>
  </si>
  <si>
    <t xml:space="preserve">2013-9 批次配方单数据 55#红双喜（高扬自营） 总批次：67 </t>
    <phoneticPr fontId="1" type="noConversion"/>
  </si>
  <si>
    <t>编号：4 批次：64--67 合计4批</t>
    <phoneticPr fontId="1" type="noConversion"/>
  </si>
  <si>
    <t>编号：4 批次：27--28  合计2批</t>
    <phoneticPr fontId="1" type="noConversion"/>
  </si>
  <si>
    <t>编号：5 批次：29--47  合计19批</t>
    <phoneticPr fontId="1" type="noConversion"/>
  </si>
  <si>
    <t>编号：10 批次：62--70 合计9批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</si>
</sst>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4" fillId="0" borderId="0" xfId="1" applyAlignment="1" applyProtection="1">
      <alignment vertical="center"/>
    </xf>
    <xf numFmtId="0" fontId="2" fillId="0" borderId="13" xfId="0" applyFont="1" applyBorder="1">
      <alignment vertical="center"/>
    </xf>
    <xf numFmtId="0" fontId="2" fillId="0" borderId="13" xfId="0" applyFont="1" applyBorder="1" applyAlignment="1">
      <alignment horizontal="right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8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4" fillId="0" borderId="0" xfId="1" applyAlignment="1" applyProtection="1">
      <alignment vertical="center"/>
      <protection locked="0"/>
    </xf>
    <xf numFmtId="176" fontId="2" fillId="2" borderId="13" xfId="0" applyNumberFormat="1" applyFont="1" applyFill="1" applyBorder="1" applyProtection="1">
      <alignment vertical="center"/>
    </xf>
    <xf numFmtId="176" fontId="0" fillId="0" borderId="0" xfId="0" applyNumberFormat="1" applyProtection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3" fillId="0" borderId="3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4" xfId="0" applyFont="1" applyFill="1" applyBorder="1">
      <alignment vertical="center"/>
    </xf>
    <xf numFmtId="0" fontId="0" fillId="0" borderId="13" xfId="0" applyBorder="1" applyAlignment="1">
      <alignment horizontal="left" vertical="center" wrapText="1"/>
    </xf>
    <xf numFmtId="0" fontId="0" fillId="0" borderId="13" xfId="0" applyBorder="1" applyAlignment="1">
      <alignment horizontal="right" vertical="center" wrapText="1"/>
    </xf>
    <xf numFmtId="0" fontId="0" fillId="0" borderId="13" xfId="0" applyBorder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right" vertical="center" wrapText="1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3" borderId="13" xfId="0" applyFill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3" fillId="0" borderId="13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3" fillId="0" borderId="18" xfId="0" applyFont="1" applyFill="1" applyBorder="1">
      <alignment vertical="center"/>
    </xf>
    <xf numFmtId="0" fontId="0" fillId="0" borderId="19" xfId="0" applyBorder="1" applyAlignment="1">
      <alignment horizontal="right" vertical="center" wrapText="1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 applyAlignment="1">
      <alignment horizontal="left" vertical="center"/>
    </xf>
    <xf numFmtId="0" fontId="3" fillId="0" borderId="21" xfId="0" applyFont="1" applyFill="1" applyBorder="1">
      <alignment vertical="center"/>
    </xf>
    <xf numFmtId="0" fontId="0" fillId="0" borderId="21" xfId="0" applyBorder="1" applyAlignment="1">
      <alignment horizontal="left" vertical="center" wrapText="1"/>
    </xf>
    <xf numFmtId="0" fontId="0" fillId="3" borderId="21" xfId="0" applyFill="1" applyBorder="1" applyAlignment="1">
      <alignment horizontal="left" vertical="center" wrapText="1"/>
    </xf>
    <xf numFmtId="0" fontId="0" fillId="0" borderId="21" xfId="0" applyBorder="1">
      <alignment vertical="center"/>
    </xf>
    <xf numFmtId="0" fontId="0" fillId="0" borderId="14" xfId="0" applyBorder="1">
      <alignment vertical="center"/>
    </xf>
    <xf numFmtId="0" fontId="0" fillId="0" borderId="17" xfId="0" applyBorder="1" applyAlignment="1">
      <alignment horizontal="left" vertical="center"/>
    </xf>
    <xf numFmtId="0" fontId="3" fillId="0" borderId="17" xfId="0" applyFont="1" applyFill="1" applyBorder="1">
      <alignment vertical="center"/>
    </xf>
    <xf numFmtId="0" fontId="0" fillId="3" borderId="17" xfId="0" applyFill="1" applyBorder="1" applyAlignment="1">
      <alignment horizontal="left" vertical="center" wrapText="1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95250</xdr:rowOff>
    </xdr:from>
    <xdr:to>
      <xdr:col>0</xdr:col>
      <xdr:colOff>1143000</xdr:colOff>
      <xdr:row>2</xdr:row>
      <xdr:rowOff>76200</xdr:rowOff>
    </xdr:to>
    <xdr:sp macro="[0]!initProdTable_Action" textlink="">
      <xdr:nvSpPr>
        <xdr:cNvPr id="2" name="圆角矩形 1"/>
        <xdr:cNvSpPr/>
      </xdr:nvSpPr>
      <xdr:spPr>
        <a:xfrm>
          <a:off x="180975" y="95250"/>
          <a:ext cx="962025" cy="3238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初始化</a:t>
          </a:r>
        </a:p>
      </xdr:txBody>
    </xdr:sp>
    <xdr:clientData/>
  </xdr:twoCellAnchor>
  <xdr:twoCellAnchor>
    <xdr:from>
      <xdr:col>1</xdr:col>
      <xdr:colOff>191192</xdr:colOff>
      <xdr:row>0</xdr:row>
      <xdr:rowOff>99753</xdr:rowOff>
    </xdr:from>
    <xdr:to>
      <xdr:col>2</xdr:col>
      <xdr:colOff>548640</xdr:colOff>
      <xdr:row>2</xdr:row>
      <xdr:rowOff>74815</xdr:rowOff>
    </xdr:to>
    <xdr:sp macro="[0]!initProdPlan_Action" textlink="">
      <xdr:nvSpPr>
        <xdr:cNvPr id="3" name="圆角矩形 2"/>
        <xdr:cNvSpPr/>
      </xdr:nvSpPr>
      <xdr:spPr>
        <a:xfrm>
          <a:off x="1720734" y="99753"/>
          <a:ext cx="1230284" cy="307571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000" baseline="0"/>
            <a:t>月计划批次初始化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300"/>
  <sheetViews>
    <sheetView tabSelected="1" workbookViewId="0">
      <pane xSplit="3" ySplit="4" topLeftCell="D20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ColWidth="8.875" defaultRowHeight="13.5"/>
  <cols>
    <col min="1" max="1" width="20.5" style="21" bestFit="1" customWidth="1"/>
    <col min="2" max="2" width="11.625" style="21" bestFit="1" customWidth="1"/>
    <col min="3" max="3" width="12.375" style="21" customWidth="1"/>
    <col min="4" max="34" width="7.625" style="22" customWidth="1"/>
    <col min="35" max="16384" width="8.875" style="22"/>
  </cols>
  <sheetData>
    <row r="1" spans="1:34" s="21" customFormat="1"/>
    <row r="2" spans="1:34" s="21" customFormat="1"/>
    <row r="3" spans="1:34" s="21" customFormat="1">
      <c r="B3"/>
      <c r="C3"/>
      <c r="D3" s="10" t="s">
        <v>134</v>
      </c>
      <c r="E3" s="10" t="s">
        <v>134</v>
      </c>
      <c r="F3" s="10" t="s">
        <v>134</v>
      </c>
      <c r="G3" s="10" t="s">
        <v>134</v>
      </c>
      <c r="H3" s="10" t="s">
        <v>134</v>
      </c>
      <c r="I3" s="10" t="s">
        <v>134</v>
      </c>
      <c r="J3" s="10" t="s">
        <v>134</v>
      </c>
      <c r="K3" s="10" t="s">
        <v>134</v>
      </c>
      <c r="L3" s="10" t="s">
        <v>134</v>
      </c>
      <c r="M3" s="10" t="s">
        <v>134</v>
      </c>
      <c r="N3" s="10" t="s">
        <v>134</v>
      </c>
      <c r="O3" s="10" t="s">
        <v>134</v>
      </c>
      <c r="P3" s="10" t="s">
        <v>134</v>
      </c>
      <c r="Q3" s="10" t="s">
        <v>134</v>
      </c>
      <c r="R3" s="10" t="s">
        <v>134</v>
      </c>
      <c r="S3" s="10" t="s">
        <v>134</v>
      </c>
      <c r="T3" s="10" t="s">
        <v>134</v>
      </c>
      <c r="U3" s="10" t="s">
        <v>134</v>
      </c>
      <c r="V3" s="10" t="s">
        <v>134</v>
      </c>
      <c r="W3" s="10" t="s">
        <v>134</v>
      </c>
      <c r="X3" s="10" t="s">
        <v>134</v>
      </c>
      <c r="Y3" s="10" t="s">
        <v>134</v>
      </c>
      <c r="Z3" s="10" t="s">
        <v>134</v>
      </c>
      <c r="AA3" s="10" t="s">
        <v>134</v>
      </c>
      <c r="AB3" s="10" t="s">
        <v>134</v>
      </c>
      <c r="AC3" s="10" t="s">
        <v>134</v>
      </c>
      <c r="AD3" s="10" t="s">
        <v>134</v>
      </c>
      <c r="AE3" s="10" t="s">
        <v>134</v>
      </c>
      <c r="AF3" s="10" t="s">
        <v>134</v>
      </c>
      <c r="AG3" s="10" t="s">
        <v>134</v>
      </c>
      <c r="AH3" s="10" t="s">
        <v>134</v>
      </c>
    </row>
    <row r="4" spans="1:34" s="25" customFormat="1">
      <c r="A4" s="24" t="s">
        <v>103</v>
      </c>
      <c r="B4" s="24" t="s">
        <v>149</v>
      </c>
      <c r="C4" s="24" t="s">
        <v>148</v>
      </c>
      <c r="D4" s="24" t="s">
        <v>72</v>
      </c>
      <c r="E4" s="24" t="s">
        <v>73</v>
      </c>
      <c r="F4" s="24" t="s">
        <v>74</v>
      </c>
      <c r="G4" s="24" t="s">
        <v>75</v>
      </c>
      <c r="H4" s="24" t="s">
        <v>76</v>
      </c>
      <c r="I4" s="24" t="s">
        <v>77</v>
      </c>
      <c r="J4" s="24" t="s">
        <v>78</v>
      </c>
      <c r="K4" s="24" t="s">
        <v>79</v>
      </c>
      <c r="L4" s="24" t="s">
        <v>80</v>
      </c>
      <c r="M4" s="24" t="s">
        <v>81</v>
      </c>
      <c r="N4" s="24" t="s">
        <v>82</v>
      </c>
      <c r="O4" s="24" t="s">
        <v>83</v>
      </c>
      <c r="P4" s="24" t="s">
        <v>84</v>
      </c>
      <c r="Q4" s="24" t="s">
        <v>85</v>
      </c>
      <c r="R4" s="24" t="s">
        <v>86</v>
      </c>
      <c r="S4" s="24" t="s">
        <v>87</v>
      </c>
      <c r="T4" s="24" t="s">
        <v>88</v>
      </c>
      <c r="U4" s="24" t="s">
        <v>89</v>
      </c>
      <c r="V4" s="24" t="s">
        <v>90</v>
      </c>
      <c r="W4" s="24" t="s">
        <v>91</v>
      </c>
      <c r="X4" s="24" t="s">
        <v>92</v>
      </c>
      <c r="Y4" s="24" t="s">
        <v>93</v>
      </c>
      <c r="Z4" s="24" t="s">
        <v>94</v>
      </c>
      <c r="AA4" s="24" t="s">
        <v>95</v>
      </c>
      <c r="AB4" s="24" t="s">
        <v>96</v>
      </c>
      <c r="AC4" s="24" t="s">
        <v>97</v>
      </c>
      <c r="AD4" s="24" t="s">
        <v>98</v>
      </c>
      <c r="AE4" s="24" t="s">
        <v>99</v>
      </c>
      <c r="AF4" s="24" t="s">
        <v>100</v>
      </c>
      <c r="AG4" s="24" t="s">
        <v>101</v>
      </c>
      <c r="AH4" s="24" t="s">
        <v>102</v>
      </c>
    </row>
    <row r="5" spans="1:34">
      <c r="A5" s="1" t="s">
        <v>105</v>
      </c>
      <c r="B5" s="21">
        <v>13</v>
      </c>
      <c r="C5" s="21" t="str">
        <f t="shared" ref="C5:C35" si="0">IF(B5="","",IF(SUM(D5:AH5)&gt;B5,"超出"&amp;(SUM(D5:AH5)-B5)&amp;"批",IF(SUM(D5:AH5)=B5,"已领料完成","剩余"&amp;(B5-SUM(D5:AH5))&amp;"批")))</f>
        <v>剩余3批</v>
      </c>
      <c r="D5" s="22">
        <v>1</v>
      </c>
      <c r="E5" s="22">
        <v>2</v>
      </c>
      <c r="G5" s="22">
        <v>2</v>
      </c>
      <c r="H5" s="22">
        <v>1</v>
      </c>
      <c r="I5" s="22">
        <v>2</v>
      </c>
      <c r="J5" s="22">
        <v>2</v>
      </c>
    </row>
    <row r="6" spans="1:34">
      <c r="A6" s="1" t="s">
        <v>146</v>
      </c>
      <c r="B6" s="21">
        <v>7</v>
      </c>
      <c r="C6" s="21" t="str">
        <f t="shared" si="0"/>
        <v>剩余7批</v>
      </c>
    </row>
    <row r="7" spans="1:34">
      <c r="A7" s="1" t="s">
        <v>104</v>
      </c>
      <c r="B7" s="21">
        <v>101</v>
      </c>
      <c r="C7" s="21" t="str">
        <f t="shared" si="0"/>
        <v>剩余101批</v>
      </c>
    </row>
    <row r="8" spans="1:34">
      <c r="A8" s="1" t="s">
        <v>106</v>
      </c>
      <c r="B8" s="21">
        <v>49</v>
      </c>
      <c r="C8" s="21" t="str">
        <f t="shared" si="0"/>
        <v>剩余49批</v>
      </c>
    </row>
    <row r="9" spans="1:34">
      <c r="A9" s="1" t="s">
        <v>107</v>
      </c>
      <c r="B9" s="21">
        <v>43</v>
      </c>
      <c r="C9" s="21" t="str">
        <f t="shared" si="0"/>
        <v>剩余43批</v>
      </c>
    </row>
    <row r="10" spans="1:34">
      <c r="A10" s="1" t="s">
        <v>108</v>
      </c>
      <c r="B10" s="21">
        <v>20</v>
      </c>
      <c r="C10" s="21" t="str">
        <f t="shared" si="0"/>
        <v>剩余20批</v>
      </c>
    </row>
    <row r="11" spans="1:34">
      <c r="A11" s="1" t="s">
        <v>109</v>
      </c>
      <c r="B11" s="21">
        <v>5</v>
      </c>
      <c r="C11" s="21" t="str">
        <f t="shared" si="0"/>
        <v>剩余5批</v>
      </c>
    </row>
    <row r="12" spans="1:34">
      <c r="A12" s="1" t="s">
        <v>110</v>
      </c>
      <c r="B12" s="21">
        <v>4</v>
      </c>
      <c r="C12" s="21" t="str">
        <f t="shared" si="0"/>
        <v>剩余4批</v>
      </c>
    </row>
    <row r="13" spans="1:34">
      <c r="A13" s="1" t="s">
        <v>111</v>
      </c>
      <c r="B13" s="21">
        <v>552</v>
      </c>
      <c r="C13" s="21" t="str">
        <f t="shared" si="0"/>
        <v>超出408批</v>
      </c>
      <c r="D13" s="22">
        <v>100</v>
      </c>
      <c r="E13" s="22">
        <v>80</v>
      </c>
      <c r="F13" s="22">
        <v>100</v>
      </c>
      <c r="G13" s="22">
        <v>80</v>
      </c>
      <c r="H13" s="22">
        <v>100</v>
      </c>
      <c r="I13" s="22">
        <v>100</v>
      </c>
      <c r="J13" s="22">
        <v>100</v>
      </c>
      <c r="K13" s="22">
        <v>100</v>
      </c>
      <c r="L13" s="22">
        <v>100</v>
      </c>
      <c r="M13" s="22">
        <v>100</v>
      </c>
    </row>
    <row r="14" spans="1:34">
      <c r="A14" s="1" t="s">
        <v>112</v>
      </c>
      <c r="B14" s="21">
        <v>339</v>
      </c>
      <c r="C14" s="21" t="str">
        <f t="shared" si="0"/>
        <v>剩余339批</v>
      </c>
    </row>
    <row r="15" spans="1:34">
      <c r="A15" s="1" t="s">
        <v>113</v>
      </c>
      <c r="B15" s="21">
        <v>11</v>
      </c>
      <c r="C15" s="21" t="str">
        <f t="shared" si="0"/>
        <v>剩余11批</v>
      </c>
    </row>
    <row r="16" spans="1:34">
      <c r="A16" s="1" t="s">
        <v>114</v>
      </c>
      <c r="B16" s="21">
        <v>6</v>
      </c>
      <c r="C16" s="21" t="str">
        <f t="shared" si="0"/>
        <v>剩余6批</v>
      </c>
    </row>
    <row r="17" spans="1:7">
      <c r="A17" s="1" t="s">
        <v>115</v>
      </c>
      <c r="B17" s="21">
        <v>2</v>
      </c>
      <c r="C17" s="21" t="str">
        <f t="shared" si="0"/>
        <v>剩余2批</v>
      </c>
    </row>
    <row r="18" spans="1:7">
      <c r="A18" s="1" t="s">
        <v>116</v>
      </c>
      <c r="B18" s="21">
        <v>2</v>
      </c>
      <c r="C18" s="21" t="str">
        <f t="shared" si="0"/>
        <v>剩余2批</v>
      </c>
    </row>
    <row r="19" spans="1:7">
      <c r="A19" s="1" t="s">
        <v>117</v>
      </c>
      <c r="B19" s="21">
        <v>1</v>
      </c>
      <c r="C19" s="21" t="str">
        <f t="shared" si="0"/>
        <v>剩余1批</v>
      </c>
    </row>
    <row r="20" spans="1:7">
      <c r="A20" s="1" t="s">
        <v>118</v>
      </c>
      <c r="B20" s="21">
        <v>12</v>
      </c>
      <c r="C20" s="21" t="str">
        <f t="shared" si="0"/>
        <v>剩余12批</v>
      </c>
    </row>
    <row r="21" spans="1:7">
      <c r="A21" s="1" t="s">
        <v>119</v>
      </c>
      <c r="B21" s="21">
        <v>7</v>
      </c>
      <c r="C21" s="21" t="str">
        <f t="shared" si="0"/>
        <v>剩余7批</v>
      </c>
    </row>
    <row r="22" spans="1:7">
      <c r="A22" s="1" t="s">
        <v>120</v>
      </c>
      <c r="B22" s="21">
        <v>299</v>
      </c>
      <c r="C22" s="21" t="str">
        <f t="shared" si="0"/>
        <v>超出21批</v>
      </c>
      <c r="D22" s="22">
        <v>80</v>
      </c>
      <c r="E22" s="22">
        <v>80</v>
      </c>
      <c r="F22" s="22">
        <v>80</v>
      </c>
      <c r="G22" s="22">
        <v>80</v>
      </c>
    </row>
    <row r="23" spans="1:7">
      <c r="A23" s="1" t="s">
        <v>121</v>
      </c>
      <c r="B23" s="21">
        <v>4</v>
      </c>
      <c r="C23" s="21" t="str">
        <f t="shared" si="0"/>
        <v>剩余4批</v>
      </c>
    </row>
    <row r="24" spans="1:7">
      <c r="A24" s="1" t="s">
        <v>122</v>
      </c>
      <c r="B24" s="21">
        <v>14</v>
      </c>
      <c r="C24" s="21" t="str">
        <f t="shared" si="0"/>
        <v>剩余14批</v>
      </c>
    </row>
    <row r="25" spans="1:7">
      <c r="A25" s="1" t="s">
        <v>123</v>
      </c>
      <c r="B25" s="21">
        <v>113</v>
      </c>
      <c r="C25" s="21" t="str">
        <f t="shared" si="0"/>
        <v>剩余113批</v>
      </c>
    </row>
    <row r="26" spans="1:7">
      <c r="A26" s="1" t="s">
        <v>124</v>
      </c>
      <c r="B26" s="21">
        <v>4</v>
      </c>
      <c r="C26" s="21" t="str">
        <f t="shared" si="0"/>
        <v>剩余4批</v>
      </c>
    </row>
    <row r="27" spans="1:7">
      <c r="A27" s="1" t="s">
        <v>125</v>
      </c>
      <c r="B27" s="21">
        <v>9</v>
      </c>
      <c r="C27" s="21" t="str">
        <f t="shared" si="0"/>
        <v>超出9批</v>
      </c>
      <c r="D27" s="22">
        <v>9</v>
      </c>
      <c r="E27" s="22">
        <v>9</v>
      </c>
    </row>
    <row r="28" spans="1:7">
      <c r="A28" s="1" t="s">
        <v>126</v>
      </c>
      <c r="B28" s="21">
        <v>8</v>
      </c>
      <c r="C28" s="21" t="str">
        <f t="shared" si="0"/>
        <v>剩余8批</v>
      </c>
    </row>
    <row r="29" spans="1:7">
      <c r="A29" s="1" t="s">
        <v>127</v>
      </c>
      <c r="B29" s="21">
        <v>1</v>
      </c>
      <c r="C29" s="21" t="str">
        <f t="shared" si="0"/>
        <v>剩余1批</v>
      </c>
    </row>
    <row r="30" spans="1:7">
      <c r="A30" s="1" t="s">
        <v>128</v>
      </c>
      <c r="B30" s="21">
        <v>4</v>
      </c>
      <c r="C30" s="21" t="str">
        <f t="shared" si="0"/>
        <v>剩余4批</v>
      </c>
    </row>
    <row r="31" spans="1:7">
      <c r="A31" s="1" t="s">
        <v>129</v>
      </c>
      <c r="B31" s="21">
        <v>6</v>
      </c>
      <c r="C31" s="21" t="str">
        <f t="shared" si="0"/>
        <v>剩余6批</v>
      </c>
    </row>
    <row r="32" spans="1:7">
      <c r="A32" s="1" t="s">
        <v>130</v>
      </c>
      <c r="B32" s="21">
        <v>12</v>
      </c>
      <c r="C32" s="21" t="str">
        <f t="shared" si="0"/>
        <v>剩余12批</v>
      </c>
    </row>
    <row r="33" spans="1:34">
      <c r="A33" s="1" t="s">
        <v>131</v>
      </c>
      <c r="B33" s="21">
        <v>2</v>
      </c>
      <c r="C33" s="21" t="str">
        <f t="shared" si="0"/>
        <v>剩余2批</v>
      </c>
    </row>
    <row r="34" spans="1:34">
      <c r="A34" s="1" t="s">
        <v>132</v>
      </c>
      <c r="B34" s="21">
        <v>2</v>
      </c>
      <c r="C34" s="21" t="str">
        <f t="shared" si="0"/>
        <v>剩余2批</v>
      </c>
    </row>
    <row r="35" spans="1:34">
      <c r="A35" s="1" t="s">
        <v>133</v>
      </c>
      <c r="B35" s="21">
        <v>2</v>
      </c>
      <c r="C35" s="21" t="str">
        <f t="shared" si="0"/>
        <v>剩余2批</v>
      </c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</row>
    <row r="36" spans="1:34">
      <c r="A36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</row>
    <row r="37" spans="1:34">
      <c r="A37"/>
    </row>
    <row r="38" spans="1:34">
      <c r="A38"/>
      <c r="D38" s="23"/>
      <c r="E38" s="23"/>
    </row>
    <row r="39" spans="1:34">
      <c r="A39"/>
    </row>
    <row r="40" spans="1:34">
      <c r="A40"/>
    </row>
    <row r="41" spans="1:34">
      <c r="A41"/>
    </row>
    <row r="42" spans="1:34">
      <c r="A42"/>
    </row>
    <row r="43" spans="1:34">
      <c r="A43"/>
    </row>
    <row r="44" spans="1:34">
      <c r="A44"/>
    </row>
    <row r="45" spans="1:34">
      <c r="A45"/>
    </row>
    <row r="46" spans="1:34">
      <c r="A46"/>
    </row>
    <row r="47" spans="1:34">
      <c r="A47"/>
    </row>
    <row r="48" spans="1:34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</sheetData>
  <sheetProtection password="DB12" sheet="1" objects="1" scenarios="1" insertColumns="0" insertRows="0" insertHyperlinks="0" deleteColumns="0" deleteRows="0" sort="0" autoFilter="0"/>
  <dataConsolidate/>
  <phoneticPr fontId="1" type="noConversion"/>
  <dataValidations count="1">
    <dataValidation type="whole" operator="greaterThan" allowBlank="1" showInputMessage="1" showErrorMessage="1" errorTitle="错误的批次数量" error="错误的批次数量，请输入大于0的整数" sqref="D5:AH200">
      <formula1>0</formula1>
    </dataValidation>
  </dataValidations>
  <hyperlinks>
    <hyperlink ref="AG3" location="AG3" tooltip="点击开始计算" display="计算"/>
    <hyperlink ref="AH3" location="AH3" tooltip="点击开始计算" display="计算"/>
    <hyperlink ref="D3" location="D3" tooltip="点击开始计算" display="计算"/>
    <hyperlink ref="E3" location="E3" tooltip="点击开始计算" display="计算"/>
    <hyperlink ref="F3" location="F3" tooltip="点击开始计算" display="计算"/>
    <hyperlink ref="G3" location="G3" tooltip="点击开始计算" display="计算"/>
    <hyperlink ref="H3" location="H3" tooltip="点击开始计算" display="计算"/>
    <hyperlink ref="I3" location="I3" tooltip="点击开始计算" display="计算"/>
    <hyperlink ref="J3" location="J3" tooltip="点击开始计算" display="计算"/>
    <hyperlink ref="K3" location="K3" tooltip="点击开始计算" display="计算"/>
    <hyperlink ref="L3" location="L3" tooltip="点击开始计算" display="计算"/>
    <hyperlink ref="M3" location="M3" tooltip="点击开始计算" display="计算"/>
    <hyperlink ref="N3" location="N3" tooltip="点击开始计算" display="计算"/>
    <hyperlink ref="O3" location="O3" tooltip="点击开始计算" display="计算"/>
    <hyperlink ref="P3" location="P3" tooltip="点击开始计算" display="计算"/>
    <hyperlink ref="Q3" location="Q3" tooltip="点击开始计算" display="计算"/>
    <hyperlink ref="R3" location="R3" tooltip="点击开始计算" display="计算"/>
    <hyperlink ref="S3" location="S3" tooltip="点击开始计算" display="计算"/>
    <hyperlink ref="T3" location="T3" tooltip="点击开始计算" display="计算"/>
    <hyperlink ref="U3" location="U3" tooltip="点击开始计算" display="计算"/>
    <hyperlink ref="V3" location="V3" tooltip="点击开始计算" display="计算"/>
    <hyperlink ref="W3" location="W3" tooltip="点击开始计算" display="计算"/>
    <hyperlink ref="X3" location="X3" tooltip="点击开始计算" display="计算"/>
    <hyperlink ref="Y3" location="Y3" tooltip="点击开始计算" display="计算"/>
    <hyperlink ref="Z3" location="Z3" tooltip="点击开始计算" display="计算"/>
    <hyperlink ref="AA3" location="AA3" tooltip="点击开始计算" display="计算"/>
    <hyperlink ref="AB3" location="AB3" tooltip="点击开始计算" display="计算"/>
    <hyperlink ref="AC3" location="AC3" tooltip="点击开始计算" display="计算"/>
    <hyperlink ref="AD3" location="AD3" tooltip="点击开始计算" display="计算"/>
    <hyperlink ref="AE3" location="AE3" tooltip="点击开始计算" display="计算"/>
    <hyperlink ref="AF3" location="AF3" tooltip="点击开始计算" display="计算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H93"/>
  <sheetViews>
    <sheetView workbookViewId="0">
      <selection activeCell="B4" sqref="B4"/>
    </sheetView>
  </sheetViews>
  <sheetFormatPr defaultRowHeight="13.5"/>
  <cols>
    <col min="1" max="1" width="4.75" customWidth="1"/>
    <col min="2" max="2" width="24.75" bestFit="1" customWidth="1"/>
    <col min="3" max="3" width="22.25" bestFit="1" customWidth="1"/>
    <col min="4" max="4" width="7.75" bestFit="1" customWidth="1"/>
    <col min="6" max="6" width="24.75" bestFit="1" customWidth="1"/>
    <col min="7" max="9" width="7.75" bestFit="1" customWidth="1"/>
  </cols>
  <sheetData>
    <row r="3" spans="2:8" ht="14.25" thickBot="1"/>
    <row r="4" spans="2:8">
      <c r="B4" s="14" t="s">
        <v>150</v>
      </c>
      <c r="C4" s="15" t="s">
        <v>151</v>
      </c>
      <c r="D4" s="16" t="s">
        <v>137</v>
      </c>
      <c r="F4" s="14" t="s">
        <v>150</v>
      </c>
      <c r="G4" s="15" t="s">
        <v>155</v>
      </c>
      <c r="H4" s="16" t="s">
        <v>137</v>
      </c>
    </row>
    <row r="5" spans="2:8">
      <c r="B5" s="17"/>
      <c r="C5" s="11" t="s">
        <v>139</v>
      </c>
      <c r="D5" s="18">
        <v>1</v>
      </c>
      <c r="F5" s="20" t="s">
        <v>141</v>
      </c>
      <c r="G5" s="13" t="s">
        <v>142</v>
      </c>
      <c r="H5" s="19" t="s">
        <v>143</v>
      </c>
    </row>
    <row r="6" spans="2:8">
      <c r="B6" s="17" t="s">
        <v>141</v>
      </c>
      <c r="C6" s="11" t="s">
        <v>142</v>
      </c>
      <c r="D6" s="19" t="s">
        <v>143</v>
      </c>
      <c r="F6" s="6" t="s">
        <v>2</v>
      </c>
      <c r="G6" s="2" t="s">
        <v>147</v>
      </c>
      <c r="H6" s="7">
        <v>2</v>
      </c>
    </row>
    <row r="7" spans="2:8">
      <c r="B7" s="6" t="s">
        <v>2</v>
      </c>
      <c r="C7" s="2" t="s">
        <v>147</v>
      </c>
      <c r="D7" s="7">
        <v>2</v>
      </c>
      <c r="F7" s="6" t="s">
        <v>11</v>
      </c>
      <c r="G7" s="2" t="s">
        <v>147</v>
      </c>
      <c r="H7" s="7">
        <v>1</v>
      </c>
    </row>
    <row r="8" spans="2:8">
      <c r="B8" s="6" t="s">
        <v>11</v>
      </c>
      <c r="C8" s="2" t="s">
        <v>147</v>
      </c>
      <c r="D8" s="7">
        <v>1</v>
      </c>
      <c r="F8" s="6" t="s">
        <v>12</v>
      </c>
      <c r="G8" s="2" t="s">
        <v>147</v>
      </c>
      <c r="H8" s="7">
        <v>1</v>
      </c>
    </row>
    <row r="9" spans="2:8">
      <c r="B9" s="6" t="s">
        <v>12</v>
      </c>
      <c r="C9" s="2" t="s">
        <v>147</v>
      </c>
      <c r="D9" s="7">
        <v>1</v>
      </c>
      <c r="F9" s="6" t="s">
        <v>13</v>
      </c>
      <c r="G9" s="2" t="s">
        <v>147</v>
      </c>
      <c r="H9" s="7">
        <v>1</v>
      </c>
    </row>
    <row r="10" spans="2:8">
      <c r="B10" s="6" t="s">
        <v>13</v>
      </c>
      <c r="C10" s="2" t="s">
        <v>147</v>
      </c>
      <c r="D10" s="7">
        <v>1</v>
      </c>
      <c r="F10" s="6" t="s">
        <v>4</v>
      </c>
      <c r="G10" s="2" t="s">
        <v>147</v>
      </c>
      <c r="H10" s="7">
        <v>2</v>
      </c>
    </row>
    <row r="11" spans="2:8">
      <c r="B11" s="6" t="s">
        <v>4</v>
      </c>
      <c r="C11" s="2" t="s">
        <v>147</v>
      </c>
      <c r="D11" s="7">
        <v>2</v>
      </c>
      <c r="F11" s="6" t="s">
        <v>14</v>
      </c>
      <c r="G11" s="2" t="s">
        <v>147</v>
      </c>
      <c r="H11" s="7">
        <v>1</v>
      </c>
    </row>
    <row r="12" spans="2:8">
      <c r="B12" s="6" t="s">
        <v>14</v>
      </c>
      <c r="C12" s="2" t="s">
        <v>147</v>
      </c>
      <c r="D12" s="7">
        <v>1</v>
      </c>
      <c r="F12" s="6" t="s">
        <v>15</v>
      </c>
      <c r="G12" s="2" t="s">
        <v>147</v>
      </c>
      <c r="H12" s="7">
        <v>1</v>
      </c>
    </row>
    <row r="13" spans="2:8">
      <c r="B13" s="6" t="s">
        <v>15</v>
      </c>
      <c r="C13" s="2" t="s">
        <v>147</v>
      </c>
      <c r="D13" s="7">
        <v>1</v>
      </c>
      <c r="F13" s="6" t="s">
        <v>6</v>
      </c>
      <c r="G13" s="2" t="s">
        <v>147</v>
      </c>
      <c r="H13" s="7">
        <v>1</v>
      </c>
    </row>
    <row r="14" spans="2:8">
      <c r="B14" s="6" t="s">
        <v>6</v>
      </c>
      <c r="C14" s="2" t="s">
        <v>147</v>
      </c>
      <c r="D14" s="7">
        <v>1</v>
      </c>
      <c r="F14" s="6" t="s">
        <v>16</v>
      </c>
      <c r="G14" s="2" t="s">
        <v>147</v>
      </c>
      <c r="H14" s="7">
        <v>1</v>
      </c>
    </row>
    <row r="15" spans="2:8">
      <c r="B15" s="6" t="s">
        <v>16</v>
      </c>
      <c r="C15" s="2" t="s">
        <v>147</v>
      </c>
      <c r="D15" s="7">
        <v>1</v>
      </c>
      <c r="F15" s="6" t="s">
        <v>3</v>
      </c>
      <c r="G15" s="2" t="s">
        <v>147</v>
      </c>
      <c r="H15" s="7">
        <v>1</v>
      </c>
    </row>
    <row r="16" spans="2:8">
      <c r="B16" s="6" t="s">
        <v>3</v>
      </c>
      <c r="C16" s="2" t="s">
        <v>147</v>
      </c>
      <c r="D16" s="7">
        <v>1</v>
      </c>
      <c r="F16" s="6" t="s">
        <v>7</v>
      </c>
      <c r="G16" s="2" t="s">
        <v>147</v>
      </c>
      <c r="H16" s="7">
        <v>2</v>
      </c>
    </row>
    <row r="17" spans="2:8">
      <c r="B17" s="6" t="s">
        <v>7</v>
      </c>
      <c r="C17" s="2" t="s">
        <v>147</v>
      </c>
      <c r="D17" s="7">
        <v>2</v>
      </c>
      <c r="F17" s="6" t="s">
        <v>17</v>
      </c>
      <c r="G17" s="2" t="s">
        <v>147</v>
      </c>
      <c r="H17" s="7">
        <v>2</v>
      </c>
    </row>
    <row r="18" spans="2:8">
      <c r="B18" s="6" t="s">
        <v>17</v>
      </c>
      <c r="C18" s="2" t="s">
        <v>147</v>
      </c>
      <c r="D18" s="7">
        <v>2</v>
      </c>
      <c r="F18" s="6" t="s">
        <v>5</v>
      </c>
      <c r="G18" s="2" t="s">
        <v>147</v>
      </c>
      <c r="H18" s="7">
        <v>2</v>
      </c>
    </row>
    <row r="19" spans="2:8">
      <c r="B19" s="6" t="s">
        <v>5</v>
      </c>
      <c r="C19" s="2" t="s">
        <v>147</v>
      </c>
      <c r="D19" s="7">
        <v>2</v>
      </c>
      <c r="F19" s="6" t="s">
        <v>18</v>
      </c>
      <c r="G19" s="2" t="s">
        <v>147</v>
      </c>
      <c r="H19" s="7">
        <v>1</v>
      </c>
    </row>
    <row r="20" spans="2:8">
      <c r="B20" s="6" t="s">
        <v>18</v>
      </c>
      <c r="C20" s="2" t="s">
        <v>147</v>
      </c>
      <c r="D20" s="7">
        <v>1</v>
      </c>
      <c r="F20" s="6" t="s">
        <v>8</v>
      </c>
      <c r="G20" s="2" t="s">
        <v>147</v>
      </c>
      <c r="H20" s="7">
        <v>4</v>
      </c>
    </row>
    <row r="21" spans="2:8" ht="14.25" thickBot="1">
      <c r="B21" s="3" t="s">
        <v>8</v>
      </c>
      <c r="C21" s="4" t="s">
        <v>147</v>
      </c>
      <c r="D21" s="5">
        <v>4</v>
      </c>
      <c r="F21" s="6" t="s">
        <v>42</v>
      </c>
      <c r="G21" s="2">
        <v>1</v>
      </c>
      <c r="H21" s="7">
        <v>400</v>
      </c>
    </row>
    <row r="22" spans="2:8">
      <c r="F22" s="6" t="s">
        <v>43</v>
      </c>
      <c r="G22" s="2">
        <v>1</v>
      </c>
      <c r="H22" s="7">
        <v>200</v>
      </c>
    </row>
    <row r="23" spans="2:8" ht="14.25" thickBot="1">
      <c r="F23" s="6" t="s">
        <v>44</v>
      </c>
      <c r="G23" s="2">
        <v>1</v>
      </c>
      <c r="H23" s="7">
        <v>100</v>
      </c>
    </row>
    <row r="24" spans="2:8">
      <c r="B24" s="14" t="s">
        <v>150</v>
      </c>
      <c r="C24" s="15" t="s">
        <v>152</v>
      </c>
      <c r="D24" s="16" t="s">
        <v>137</v>
      </c>
      <c r="F24" s="6" t="s">
        <v>45</v>
      </c>
      <c r="G24" s="2">
        <v>1</v>
      </c>
      <c r="H24" s="7">
        <v>200</v>
      </c>
    </row>
    <row r="25" spans="2:8">
      <c r="B25" s="17"/>
      <c r="C25" s="11" t="s">
        <v>139</v>
      </c>
      <c r="D25" s="18">
        <v>100</v>
      </c>
      <c r="F25" s="6" t="s">
        <v>46</v>
      </c>
      <c r="G25" s="2">
        <v>1</v>
      </c>
      <c r="H25" s="7">
        <v>100</v>
      </c>
    </row>
    <row r="26" spans="2:8">
      <c r="B26" s="17" t="s">
        <v>141</v>
      </c>
      <c r="C26" s="11" t="s">
        <v>142</v>
      </c>
      <c r="D26" s="19" t="s">
        <v>143</v>
      </c>
      <c r="F26" s="6" t="s">
        <v>47</v>
      </c>
      <c r="G26" s="2">
        <v>1</v>
      </c>
      <c r="H26" s="7">
        <v>100</v>
      </c>
    </row>
    <row r="27" spans="2:8">
      <c r="B27" s="6" t="s">
        <v>42</v>
      </c>
      <c r="C27" s="2">
        <v>1</v>
      </c>
      <c r="D27" s="7">
        <v>400</v>
      </c>
      <c r="F27" s="6" t="s">
        <v>48</v>
      </c>
      <c r="G27" s="2">
        <v>1</v>
      </c>
      <c r="H27" s="7">
        <v>100</v>
      </c>
    </row>
    <row r="28" spans="2:8">
      <c r="B28" s="6" t="s">
        <v>43</v>
      </c>
      <c r="C28" s="2">
        <v>1</v>
      </c>
      <c r="D28" s="7">
        <v>200</v>
      </c>
      <c r="F28" s="6" t="s">
        <v>49</v>
      </c>
      <c r="G28" s="2">
        <v>1</v>
      </c>
      <c r="H28" s="7">
        <v>300</v>
      </c>
    </row>
    <row r="29" spans="2:8">
      <c r="B29" s="6" t="s">
        <v>44</v>
      </c>
      <c r="C29" s="2">
        <v>1</v>
      </c>
      <c r="D29" s="7">
        <v>100</v>
      </c>
      <c r="F29" s="6" t="s">
        <v>50</v>
      </c>
      <c r="G29" s="2">
        <v>1</v>
      </c>
      <c r="H29" s="7">
        <v>200</v>
      </c>
    </row>
    <row r="30" spans="2:8">
      <c r="B30" s="6" t="s">
        <v>45</v>
      </c>
      <c r="C30" s="2">
        <v>1</v>
      </c>
      <c r="D30" s="7">
        <v>200</v>
      </c>
      <c r="F30" s="6" t="s">
        <v>51</v>
      </c>
      <c r="G30" s="2">
        <v>1</v>
      </c>
      <c r="H30" s="7">
        <v>100</v>
      </c>
    </row>
    <row r="31" spans="2:8">
      <c r="B31" s="6" t="s">
        <v>46</v>
      </c>
      <c r="C31" s="2">
        <v>1</v>
      </c>
      <c r="D31" s="7">
        <v>100</v>
      </c>
      <c r="F31" s="6" t="s">
        <v>52</v>
      </c>
      <c r="G31" s="2">
        <v>1</v>
      </c>
      <c r="H31" s="7">
        <v>100</v>
      </c>
    </row>
    <row r="32" spans="2:8">
      <c r="B32" s="6" t="s">
        <v>47</v>
      </c>
      <c r="C32" s="2">
        <v>1</v>
      </c>
      <c r="D32" s="7">
        <v>100</v>
      </c>
      <c r="F32" s="6" t="s">
        <v>23</v>
      </c>
      <c r="G32" s="2">
        <v>1</v>
      </c>
      <c r="H32" s="7">
        <v>100</v>
      </c>
    </row>
    <row r="33" spans="2:8">
      <c r="B33" s="6" t="s">
        <v>48</v>
      </c>
      <c r="C33" s="2">
        <v>1</v>
      </c>
      <c r="D33" s="7">
        <v>100</v>
      </c>
      <c r="F33" s="6" t="s">
        <v>53</v>
      </c>
      <c r="G33" s="2">
        <v>1</v>
      </c>
      <c r="H33" s="7">
        <v>100</v>
      </c>
    </row>
    <row r="34" spans="2:8">
      <c r="B34" s="6" t="s">
        <v>49</v>
      </c>
      <c r="C34" s="2">
        <v>1</v>
      </c>
      <c r="D34" s="7">
        <v>300</v>
      </c>
      <c r="F34" s="6" t="s">
        <v>54</v>
      </c>
      <c r="G34" s="2">
        <v>1</v>
      </c>
      <c r="H34" s="7">
        <v>100</v>
      </c>
    </row>
    <row r="35" spans="2:8">
      <c r="B35" s="6" t="s">
        <v>50</v>
      </c>
      <c r="C35" s="2">
        <v>1</v>
      </c>
      <c r="D35" s="7">
        <v>200</v>
      </c>
      <c r="F35" s="6" t="s">
        <v>55</v>
      </c>
      <c r="G35" s="2">
        <v>1</v>
      </c>
      <c r="H35" s="7">
        <v>100</v>
      </c>
    </row>
    <row r="36" spans="2:8">
      <c r="B36" s="6" t="s">
        <v>51</v>
      </c>
      <c r="C36" s="2">
        <v>1</v>
      </c>
      <c r="D36" s="7">
        <v>100</v>
      </c>
      <c r="F36" s="6" t="s">
        <v>56</v>
      </c>
      <c r="G36" s="2">
        <v>1</v>
      </c>
      <c r="H36" s="7">
        <v>100</v>
      </c>
    </row>
    <row r="37" spans="2:8">
      <c r="B37" s="6" t="s">
        <v>52</v>
      </c>
      <c r="C37" s="2">
        <v>1</v>
      </c>
      <c r="D37" s="7">
        <v>100</v>
      </c>
      <c r="F37" s="6" t="s">
        <v>57</v>
      </c>
      <c r="G37" s="2">
        <v>1</v>
      </c>
      <c r="H37" s="7">
        <v>200</v>
      </c>
    </row>
    <row r="38" spans="2:8">
      <c r="B38" s="6" t="s">
        <v>23</v>
      </c>
      <c r="C38" s="2">
        <v>1</v>
      </c>
      <c r="D38" s="7">
        <v>100</v>
      </c>
      <c r="F38" s="6" t="s">
        <v>41</v>
      </c>
      <c r="G38" s="2">
        <v>1</v>
      </c>
      <c r="H38" s="7">
        <v>100</v>
      </c>
    </row>
    <row r="39" spans="2:8">
      <c r="B39" s="6" t="s">
        <v>53</v>
      </c>
      <c r="C39" s="2">
        <v>1</v>
      </c>
      <c r="D39" s="7">
        <v>100</v>
      </c>
      <c r="F39" s="6" t="s">
        <v>58</v>
      </c>
      <c r="G39" s="2">
        <v>1</v>
      </c>
      <c r="H39" s="7">
        <v>100</v>
      </c>
    </row>
    <row r="40" spans="2:8">
      <c r="B40" s="6" t="s">
        <v>54</v>
      </c>
      <c r="C40" s="2">
        <v>1</v>
      </c>
      <c r="D40" s="7">
        <v>100</v>
      </c>
      <c r="F40" s="6" t="s">
        <v>59</v>
      </c>
      <c r="G40" s="2">
        <v>1</v>
      </c>
      <c r="H40" s="7">
        <v>100</v>
      </c>
    </row>
    <row r="41" spans="2:8">
      <c r="B41" s="6" t="s">
        <v>55</v>
      </c>
      <c r="C41" s="2">
        <v>1</v>
      </c>
      <c r="D41" s="7">
        <v>100</v>
      </c>
      <c r="F41" s="6" t="s">
        <v>60</v>
      </c>
      <c r="G41" s="2">
        <v>1</v>
      </c>
      <c r="H41" s="7">
        <v>100</v>
      </c>
    </row>
    <row r="42" spans="2:8">
      <c r="B42" s="6" t="s">
        <v>56</v>
      </c>
      <c r="C42" s="2">
        <v>1</v>
      </c>
      <c r="D42" s="7">
        <v>100</v>
      </c>
      <c r="F42" s="6" t="s">
        <v>61</v>
      </c>
      <c r="G42" s="2">
        <v>1</v>
      </c>
      <c r="H42" s="7">
        <v>100</v>
      </c>
    </row>
    <row r="43" spans="2:8">
      <c r="B43" s="6" t="s">
        <v>57</v>
      </c>
      <c r="C43" s="2">
        <v>1</v>
      </c>
      <c r="D43" s="7">
        <v>200</v>
      </c>
      <c r="F43" s="6" t="s">
        <v>63</v>
      </c>
      <c r="G43" s="2">
        <v>1</v>
      </c>
      <c r="H43" s="7">
        <v>160</v>
      </c>
    </row>
    <row r="44" spans="2:8">
      <c r="B44" s="6" t="s">
        <v>41</v>
      </c>
      <c r="C44" s="2">
        <v>1</v>
      </c>
      <c r="D44" s="7">
        <v>100</v>
      </c>
      <c r="F44" s="6" t="s">
        <v>64</v>
      </c>
      <c r="G44" s="2">
        <v>1</v>
      </c>
      <c r="H44" s="7">
        <v>240</v>
      </c>
    </row>
    <row r="45" spans="2:8">
      <c r="B45" s="6" t="s">
        <v>58</v>
      </c>
      <c r="C45" s="2">
        <v>1</v>
      </c>
      <c r="D45" s="7">
        <v>100</v>
      </c>
      <c r="F45" s="6" t="s">
        <v>65</v>
      </c>
      <c r="G45" s="2">
        <v>1</v>
      </c>
      <c r="H45" s="7">
        <v>160</v>
      </c>
    </row>
    <row r="46" spans="2:8">
      <c r="B46" s="6" t="s">
        <v>59</v>
      </c>
      <c r="C46" s="2">
        <v>1</v>
      </c>
      <c r="D46" s="7">
        <v>100</v>
      </c>
      <c r="F46" s="6" t="s">
        <v>34</v>
      </c>
      <c r="G46" s="2">
        <v>1</v>
      </c>
      <c r="H46" s="7">
        <v>169</v>
      </c>
    </row>
    <row r="47" spans="2:8">
      <c r="B47" s="6" t="s">
        <v>60</v>
      </c>
      <c r="C47" s="2">
        <v>1</v>
      </c>
      <c r="D47" s="7">
        <v>100</v>
      </c>
      <c r="F47" s="6" t="s">
        <v>66</v>
      </c>
      <c r="G47" s="2">
        <v>1</v>
      </c>
      <c r="H47" s="7">
        <v>160</v>
      </c>
    </row>
    <row r="48" spans="2:8" ht="14.25" thickBot="1">
      <c r="B48" s="3" t="s">
        <v>61</v>
      </c>
      <c r="C48" s="4">
        <v>1</v>
      </c>
      <c r="D48" s="5">
        <v>100</v>
      </c>
      <c r="F48" s="6" t="s">
        <v>67</v>
      </c>
      <c r="G48" s="2">
        <v>1</v>
      </c>
      <c r="H48" s="7">
        <v>160</v>
      </c>
    </row>
    <row r="49" spans="2:8">
      <c r="F49" s="6" t="s">
        <v>68</v>
      </c>
      <c r="G49" s="2">
        <v>1</v>
      </c>
      <c r="H49" s="7">
        <v>160</v>
      </c>
    </row>
    <row r="50" spans="2:8" ht="14.25" thickBot="1">
      <c r="F50" s="6" t="s">
        <v>36</v>
      </c>
      <c r="G50" s="2">
        <v>1</v>
      </c>
      <c r="H50" s="7">
        <v>9</v>
      </c>
    </row>
    <row r="51" spans="2:8">
      <c r="B51" s="14" t="s">
        <v>150</v>
      </c>
      <c r="C51" s="15" t="s">
        <v>153</v>
      </c>
      <c r="D51" s="16" t="s">
        <v>137</v>
      </c>
      <c r="F51" s="6" t="s">
        <v>2</v>
      </c>
      <c r="G51" s="2">
        <v>1</v>
      </c>
      <c r="H51" s="7">
        <v>9</v>
      </c>
    </row>
    <row r="52" spans="2:8">
      <c r="B52" s="17"/>
      <c r="C52" s="11" t="s">
        <v>139</v>
      </c>
      <c r="D52" s="18">
        <v>80</v>
      </c>
      <c r="F52" s="6" t="s">
        <v>25</v>
      </c>
      <c r="G52" s="2">
        <v>1</v>
      </c>
      <c r="H52" s="7">
        <v>9</v>
      </c>
    </row>
    <row r="53" spans="2:8">
      <c r="B53" s="17" t="s">
        <v>141</v>
      </c>
      <c r="C53" s="11" t="s">
        <v>142</v>
      </c>
      <c r="D53" s="19" t="s">
        <v>143</v>
      </c>
      <c r="F53" s="6" t="s">
        <v>29</v>
      </c>
      <c r="G53" s="2">
        <v>1</v>
      </c>
      <c r="H53" s="7">
        <v>9</v>
      </c>
    </row>
    <row r="54" spans="2:8">
      <c r="B54" s="6" t="s">
        <v>63</v>
      </c>
      <c r="C54" s="2">
        <v>1</v>
      </c>
      <c r="D54" s="7">
        <v>160</v>
      </c>
      <c r="F54" s="6" t="s">
        <v>39</v>
      </c>
      <c r="G54" s="2">
        <v>1</v>
      </c>
      <c r="H54" s="7">
        <v>9</v>
      </c>
    </row>
    <row r="55" spans="2:8">
      <c r="B55" s="6" t="s">
        <v>64</v>
      </c>
      <c r="C55" s="2">
        <v>1</v>
      </c>
      <c r="D55" s="7">
        <v>240</v>
      </c>
      <c r="F55" s="6" t="s">
        <v>33</v>
      </c>
      <c r="G55" s="2">
        <v>1</v>
      </c>
      <c r="H55" s="7">
        <v>9</v>
      </c>
    </row>
    <row r="56" spans="2:8">
      <c r="B56" s="6" t="s">
        <v>65</v>
      </c>
      <c r="C56" s="2">
        <v>1</v>
      </c>
      <c r="D56" s="7">
        <v>160</v>
      </c>
      <c r="F56" s="6" t="s">
        <v>19</v>
      </c>
      <c r="G56" s="2">
        <v>1</v>
      </c>
      <c r="H56" s="7">
        <v>18</v>
      </c>
    </row>
    <row r="57" spans="2:8">
      <c r="B57" s="6" t="s">
        <v>34</v>
      </c>
      <c r="C57" s="2">
        <v>1</v>
      </c>
      <c r="D57" s="7">
        <v>160</v>
      </c>
      <c r="F57" s="6" t="s">
        <v>37</v>
      </c>
      <c r="G57" s="2">
        <v>1</v>
      </c>
      <c r="H57" s="7">
        <v>9</v>
      </c>
    </row>
    <row r="58" spans="2:8">
      <c r="B58" s="6" t="s">
        <v>66</v>
      </c>
      <c r="C58" s="2">
        <v>1</v>
      </c>
      <c r="D58" s="7">
        <v>160</v>
      </c>
      <c r="F58" s="6" t="s">
        <v>69</v>
      </c>
      <c r="G58" s="2">
        <v>1</v>
      </c>
      <c r="H58" s="7">
        <v>10</v>
      </c>
    </row>
    <row r="59" spans="2:8">
      <c r="B59" s="6" t="s">
        <v>67</v>
      </c>
      <c r="C59" s="2">
        <v>1</v>
      </c>
      <c r="D59" s="7">
        <v>160</v>
      </c>
      <c r="F59" s="6" t="s">
        <v>70</v>
      </c>
      <c r="G59" s="2">
        <v>1</v>
      </c>
      <c r="H59" s="7">
        <v>3</v>
      </c>
    </row>
    <row r="60" spans="2:8" ht="14.25" thickBot="1">
      <c r="B60" s="3" t="s">
        <v>68</v>
      </c>
      <c r="C60" s="4">
        <v>1</v>
      </c>
      <c r="D60" s="5">
        <v>160</v>
      </c>
      <c r="F60" s="6" t="s">
        <v>27</v>
      </c>
      <c r="G60" s="2">
        <v>1</v>
      </c>
      <c r="H60" s="7">
        <v>9</v>
      </c>
    </row>
    <row r="61" spans="2:8">
      <c r="F61" s="6" t="s">
        <v>20</v>
      </c>
      <c r="G61" s="2">
        <v>1</v>
      </c>
      <c r="H61" s="7">
        <v>9</v>
      </c>
    </row>
    <row r="62" spans="2:8" ht="14.25" thickBot="1">
      <c r="F62" s="6" t="s">
        <v>26</v>
      </c>
      <c r="G62" s="2">
        <v>1</v>
      </c>
      <c r="H62" s="7">
        <v>9</v>
      </c>
    </row>
    <row r="63" spans="2:8">
      <c r="B63" s="14" t="s">
        <v>150</v>
      </c>
      <c r="C63" s="15" t="s">
        <v>154</v>
      </c>
      <c r="D63" s="16" t="s">
        <v>137</v>
      </c>
      <c r="F63" s="6" t="s">
        <v>15</v>
      </c>
      <c r="G63" s="2">
        <v>1</v>
      </c>
      <c r="H63" s="7">
        <v>9</v>
      </c>
    </row>
    <row r="64" spans="2:8">
      <c r="B64" s="17"/>
      <c r="C64" s="11" t="s">
        <v>139</v>
      </c>
      <c r="D64" s="18">
        <v>9</v>
      </c>
      <c r="F64" s="6" t="s">
        <v>21</v>
      </c>
      <c r="G64" s="2">
        <v>1</v>
      </c>
      <c r="H64" s="7">
        <v>9</v>
      </c>
    </row>
    <row r="65" spans="2:8">
      <c r="B65" s="17" t="s">
        <v>141</v>
      </c>
      <c r="C65" s="11" t="s">
        <v>142</v>
      </c>
      <c r="D65" s="19" t="s">
        <v>143</v>
      </c>
      <c r="F65" s="6" t="s">
        <v>71</v>
      </c>
      <c r="G65" s="2">
        <v>1</v>
      </c>
      <c r="H65" s="7">
        <v>3</v>
      </c>
    </row>
    <row r="66" spans="2:8">
      <c r="B66" s="6" t="s">
        <v>36</v>
      </c>
      <c r="C66" s="2">
        <v>1</v>
      </c>
      <c r="D66" s="7">
        <v>9</v>
      </c>
      <c r="F66" s="6" t="s">
        <v>17</v>
      </c>
      <c r="G66" s="2">
        <v>1</v>
      </c>
      <c r="H66" s="7">
        <v>9</v>
      </c>
    </row>
    <row r="67" spans="2:8">
      <c r="B67" s="6" t="s">
        <v>2</v>
      </c>
      <c r="C67" s="2">
        <v>1</v>
      </c>
      <c r="D67" s="7">
        <v>9</v>
      </c>
      <c r="F67" s="6" t="s">
        <v>22</v>
      </c>
      <c r="G67" s="2">
        <v>1</v>
      </c>
      <c r="H67" s="7">
        <v>9</v>
      </c>
    </row>
    <row r="68" spans="2:8">
      <c r="B68" s="6" t="s">
        <v>25</v>
      </c>
      <c r="C68" s="2">
        <v>1</v>
      </c>
      <c r="D68" s="7">
        <v>9</v>
      </c>
      <c r="F68" s="6" t="s">
        <v>62</v>
      </c>
      <c r="G68" s="2">
        <v>1</v>
      </c>
      <c r="H68" s="7">
        <v>1</v>
      </c>
    </row>
    <row r="69" spans="2:8">
      <c r="B69" s="6" t="s">
        <v>29</v>
      </c>
      <c r="C69" s="2">
        <v>1</v>
      </c>
      <c r="D69" s="7">
        <v>9</v>
      </c>
      <c r="F69" s="6" t="s">
        <v>31</v>
      </c>
      <c r="G69" s="2">
        <v>1</v>
      </c>
      <c r="H69" s="7">
        <v>9</v>
      </c>
    </row>
    <row r="70" spans="2:8">
      <c r="B70" s="6" t="s">
        <v>39</v>
      </c>
      <c r="C70" s="2">
        <v>1</v>
      </c>
      <c r="D70" s="7">
        <v>9</v>
      </c>
      <c r="F70" s="6" t="s">
        <v>30</v>
      </c>
      <c r="G70" s="2">
        <v>1</v>
      </c>
      <c r="H70" s="7">
        <v>18</v>
      </c>
    </row>
    <row r="71" spans="2:8">
      <c r="B71" s="6" t="s">
        <v>33</v>
      </c>
      <c r="C71" s="2">
        <v>1</v>
      </c>
      <c r="D71" s="7">
        <v>9</v>
      </c>
      <c r="F71" s="6" t="s">
        <v>24</v>
      </c>
      <c r="G71" s="2">
        <v>1</v>
      </c>
      <c r="H71" s="7">
        <v>9</v>
      </c>
    </row>
    <row r="72" spans="2:8">
      <c r="B72" s="6" t="s">
        <v>19</v>
      </c>
      <c r="C72" s="2">
        <v>1</v>
      </c>
      <c r="D72" s="7">
        <v>18</v>
      </c>
      <c r="F72" s="6" t="s">
        <v>28</v>
      </c>
      <c r="G72" s="2">
        <v>1</v>
      </c>
      <c r="H72" s="7">
        <v>9</v>
      </c>
    </row>
    <row r="73" spans="2:8">
      <c r="B73" s="6" t="s">
        <v>37</v>
      </c>
      <c r="C73" s="2">
        <v>1</v>
      </c>
      <c r="D73" s="7">
        <v>9</v>
      </c>
      <c r="F73" s="6" t="s">
        <v>35</v>
      </c>
      <c r="G73" s="2">
        <v>1</v>
      </c>
      <c r="H73" s="7">
        <v>8</v>
      </c>
    </row>
    <row r="74" spans="2:8">
      <c r="B74" s="6" t="s">
        <v>69</v>
      </c>
      <c r="C74" s="2">
        <v>1</v>
      </c>
      <c r="D74" s="7">
        <v>10</v>
      </c>
      <c r="F74" s="6" t="s">
        <v>38</v>
      </c>
      <c r="G74" s="2">
        <v>1</v>
      </c>
      <c r="H74" s="7">
        <v>6</v>
      </c>
    </row>
    <row r="75" spans="2:8">
      <c r="B75" s="6" t="s">
        <v>70</v>
      </c>
      <c r="C75" s="2">
        <v>1</v>
      </c>
      <c r="D75" s="7">
        <v>3</v>
      </c>
      <c r="F75" s="6" t="s">
        <v>40</v>
      </c>
      <c r="G75" s="2">
        <v>1</v>
      </c>
      <c r="H75" s="7">
        <v>6</v>
      </c>
    </row>
    <row r="76" spans="2:8" ht="14.25" thickBot="1">
      <c r="B76" s="6" t="s">
        <v>27</v>
      </c>
      <c r="C76" s="2">
        <v>1</v>
      </c>
      <c r="D76" s="7">
        <v>9</v>
      </c>
      <c r="F76" s="3" t="s">
        <v>32</v>
      </c>
      <c r="G76" s="4">
        <v>1</v>
      </c>
      <c r="H76" s="5">
        <v>8</v>
      </c>
    </row>
    <row r="77" spans="2:8">
      <c r="B77" s="6" t="s">
        <v>20</v>
      </c>
      <c r="C77" s="2">
        <v>1</v>
      </c>
      <c r="D77" s="7">
        <v>9</v>
      </c>
    </row>
    <row r="78" spans="2:8">
      <c r="B78" s="6" t="s">
        <v>26</v>
      </c>
      <c r="C78" s="2">
        <v>1</v>
      </c>
      <c r="D78" s="7">
        <v>9</v>
      </c>
    </row>
    <row r="79" spans="2:8">
      <c r="B79" s="6" t="s">
        <v>15</v>
      </c>
      <c r="C79" s="2">
        <v>1</v>
      </c>
      <c r="D79" s="7">
        <v>9</v>
      </c>
    </row>
    <row r="80" spans="2:8">
      <c r="B80" s="6" t="s">
        <v>21</v>
      </c>
      <c r="C80" s="2">
        <v>1</v>
      </c>
      <c r="D80" s="7">
        <v>9</v>
      </c>
    </row>
    <row r="81" spans="2:4">
      <c r="B81" s="6" t="s">
        <v>71</v>
      </c>
      <c r="C81" s="2">
        <v>1</v>
      </c>
      <c r="D81" s="7">
        <v>3</v>
      </c>
    </row>
    <row r="82" spans="2:4">
      <c r="B82" s="6" t="s">
        <v>34</v>
      </c>
      <c r="C82" s="2">
        <v>1</v>
      </c>
      <c r="D82" s="7">
        <v>9</v>
      </c>
    </row>
    <row r="83" spans="2:4">
      <c r="B83" s="6" t="s">
        <v>17</v>
      </c>
      <c r="C83" s="2">
        <v>1</v>
      </c>
      <c r="D83" s="7">
        <v>9</v>
      </c>
    </row>
    <row r="84" spans="2:4">
      <c r="B84" s="6" t="s">
        <v>22</v>
      </c>
      <c r="C84" s="2">
        <v>1</v>
      </c>
      <c r="D84" s="7">
        <v>9</v>
      </c>
    </row>
    <row r="85" spans="2:4">
      <c r="B85" s="6" t="s">
        <v>62</v>
      </c>
      <c r="C85" s="2">
        <v>1</v>
      </c>
      <c r="D85" s="7">
        <v>1</v>
      </c>
    </row>
    <row r="86" spans="2:4">
      <c r="B86" s="6" t="s">
        <v>31</v>
      </c>
      <c r="C86" s="2">
        <v>1</v>
      </c>
      <c r="D86" s="7">
        <v>9</v>
      </c>
    </row>
    <row r="87" spans="2:4">
      <c r="B87" s="6" t="s">
        <v>30</v>
      </c>
      <c r="C87" s="2">
        <v>1</v>
      </c>
      <c r="D87" s="7">
        <v>18</v>
      </c>
    </row>
    <row r="88" spans="2:4">
      <c r="B88" s="6" t="s">
        <v>24</v>
      </c>
      <c r="C88" s="2">
        <v>1</v>
      </c>
      <c r="D88" s="7">
        <v>9</v>
      </c>
    </row>
    <row r="89" spans="2:4">
      <c r="B89" s="6" t="s">
        <v>28</v>
      </c>
      <c r="C89" s="2">
        <v>1</v>
      </c>
      <c r="D89" s="7">
        <v>9</v>
      </c>
    </row>
    <row r="90" spans="2:4">
      <c r="B90" s="6" t="s">
        <v>35</v>
      </c>
      <c r="C90" s="2">
        <v>1</v>
      </c>
      <c r="D90" s="7">
        <v>8</v>
      </c>
    </row>
    <row r="91" spans="2:4">
      <c r="B91" s="6" t="s">
        <v>38</v>
      </c>
      <c r="C91" s="2">
        <v>1</v>
      </c>
      <c r="D91" s="7">
        <v>6</v>
      </c>
    </row>
    <row r="92" spans="2:4">
      <c r="B92" s="6" t="s">
        <v>40</v>
      </c>
      <c r="C92" s="2">
        <v>1</v>
      </c>
      <c r="D92" s="7">
        <v>6</v>
      </c>
    </row>
    <row r="93" spans="2:4" ht="14.25" thickBot="1">
      <c r="B93" s="3" t="s">
        <v>32</v>
      </c>
      <c r="C93" s="4">
        <v>1</v>
      </c>
      <c r="D93" s="5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H7"/>
  <sheetViews>
    <sheetView workbookViewId="0">
      <selection activeCell="B4" sqref="B4"/>
    </sheetView>
  </sheetViews>
  <sheetFormatPr defaultRowHeight="13.5"/>
  <cols>
    <col min="2" max="2" width="16.5" customWidth="1"/>
    <col min="3" max="3" width="11" bestFit="1" customWidth="1"/>
    <col min="4" max="4" width="7.125" bestFit="1" customWidth="1"/>
    <col min="6" max="6" width="19.25" customWidth="1"/>
  </cols>
  <sheetData>
    <row r="2" spans="2:8">
      <c r="B2" s="1" t="s">
        <v>138</v>
      </c>
      <c r="F2" s="1" t="s">
        <v>144</v>
      </c>
    </row>
    <row r="4" spans="2:8">
      <c r="B4" s="12" t="s">
        <v>135</v>
      </c>
      <c r="C4" s="13" t="s">
        <v>136</v>
      </c>
      <c r="D4" s="11" t="s">
        <v>137</v>
      </c>
      <c r="F4" s="12" t="s">
        <v>135</v>
      </c>
      <c r="G4" s="13" t="s">
        <v>145</v>
      </c>
      <c r="H4" s="11" t="s">
        <v>137</v>
      </c>
    </row>
    <row r="5" spans="2:8">
      <c r="B5" s="11"/>
      <c r="C5" s="11" t="s">
        <v>139</v>
      </c>
      <c r="D5" s="11" t="s">
        <v>140</v>
      </c>
      <c r="F5" s="13" t="s">
        <v>141</v>
      </c>
      <c r="G5" s="13" t="s">
        <v>142</v>
      </c>
      <c r="H5" s="13" t="s">
        <v>143</v>
      </c>
    </row>
    <row r="6" spans="2:8">
      <c r="B6" s="11" t="s">
        <v>141</v>
      </c>
      <c r="C6" s="11" t="s">
        <v>142</v>
      </c>
      <c r="D6" s="13" t="s">
        <v>143</v>
      </c>
      <c r="F6" s="2"/>
      <c r="G6" s="2"/>
      <c r="H6" s="2"/>
    </row>
    <row r="7" spans="2:8">
      <c r="B7" s="2"/>
      <c r="C7" s="2"/>
      <c r="D7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6"/>
  <dimension ref="B1:M31"/>
  <sheetViews>
    <sheetView workbookViewId="0">
      <selection activeCell="B6" sqref="B6"/>
    </sheetView>
  </sheetViews>
  <sheetFormatPr defaultRowHeight="13.5"/>
  <cols>
    <col min="1" max="1" width="9" style="1"/>
    <col min="2" max="2" width="25" style="1" customWidth="1"/>
    <col min="3" max="4" width="9" style="1"/>
    <col min="5" max="5" width="21.25" style="1" customWidth="1"/>
    <col min="6" max="7" width="9" style="1"/>
    <col min="8" max="8" width="21.5" style="1" bestFit="1" customWidth="1"/>
    <col min="9" max="9" width="9.125" style="1" bestFit="1" customWidth="1"/>
    <col min="10" max="10" width="9.25" style="1" bestFit="1" customWidth="1"/>
    <col min="11" max="11" width="21.5" style="1" bestFit="1" customWidth="1"/>
    <col min="12" max="12" width="9.125" style="1" bestFit="1" customWidth="1"/>
    <col min="13" max="13" width="9.25" style="1" bestFit="1" customWidth="1"/>
    <col min="14" max="16384" width="9" style="1"/>
  </cols>
  <sheetData>
    <row r="1" spans="2:13" ht="14.25" thickBot="1"/>
    <row r="2" spans="2:13" ht="14.25" thickBot="1">
      <c r="B2" s="38" t="s">
        <v>217</v>
      </c>
      <c r="C2" s="39"/>
      <c r="D2" s="39"/>
      <c r="E2" s="39"/>
      <c r="F2" s="39"/>
      <c r="G2" s="39"/>
      <c r="H2" s="39"/>
      <c r="I2" s="39"/>
      <c r="J2" s="39"/>
      <c r="K2" s="8"/>
      <c r="L2" s="8"/>
      <c r="M2" s="9"/>
    </row>
    <row r="3" spans="2:13">
      <c r="B3" s="26" t="s">
        <v>193</v>
      </c>
      <c r="C3" s="27"/>
      <c r="D3" s="28"/>
      <c r="E3" s="26" t="s">
        <v>211</v>
      </c>
      <c r="F3" s="27"/>
      <c r="G3" s="28"/>
      <c r="H3" s="29" t="s">
        <v>212</v>
      </c>
      <c r="I3" s="30"/>
      <c r="J3" s="31"/>
      <c r="K3" s="29" t="s">
        <v>218</v>
      </c>
      <c r="L3" s="30"/>
      <c r="M3" s="31"/>
    </row>
    <row r="4" spans="2:13">
      <c r="B4" s="6" t="s">
        <v>0</v>
      </c>
      <c r="C4" s="2" t="s">
        <v>1</v>
      </c>
      <c r="D4" s="7" t="s">
        <v>9</v>
      </c>
      <c r="E4" s="32" t="s">
        <v>0</v>
      </c>
      <c r="F4" s="33" t="s">
        <v>10</v>
      </c>
      <c r="G4" s="34" t="s">
        <v>9</v>
      </c>
      <c r="H4" s="32" t="s">
        <v>0</v>
      </c>
      <c r="I4" s="33" t="s">
        <v>10</v>
      </c>
      <c r="J4" s="34" t="s">
        <v>9</v>
      </c>
      <c r="K4" s="32" t="s">
        <v>0</v>
      </c>
      <c r="L4" s="33" t="s">
        <v>215</v>
      </c>
      <c r="M4" s="34" t="s">
        <v>216</v>
      </c>
    </row>
    <row r="5" spans="2:13">
      <c r="B5" s="40" t="s">
        <v>186</v>
      </c>
      <c r="C5" s="35" t="s">
        <v>147</v>
      </c>
      <c r="D5" s="36">
        <v>1</v>
      </c>
      <c r="E5" s="35" t="s">
        <v>186</v>
      </c>
      <c r="F5" s="35" t="s">
        <v>147</v>
      </c>
      <c r="G5" s="36">
        <v>1</v>
      </c>
      <c r="H5" s="35" t="s">
        <v>186</v>
      </c>
      <c r="I5" s="35" t="s">
        <v>147</v>
      </c>
      <c r="J5" s="36">
        <v>1</v>
      </c>
      <c r="K5" s="35" t="s">
        <v>186</v>
      </c>
      <c r="L5" s="35" t="s">
        <v>147</v>
      </c>
      <c r="M5" s="41">
        <v>1</v>
      </c>
    </row>
    <row r="6" spans="2:13">
      <c r="B6" s="40" t="s">
        <v>194</v>
      </c>
      <c r="C6" s="35" t="s">
        <v>147</v>
      </c>
      <c r="D6" s="36">
        <v>1</v>
      </c>
      <c r="E6" s="35" t="s">
        <v>186</v>
      </c>
      <c r="F6" s="35" t="s">
        <v>147</v>
      </c>
      <c r="G6" s="36">
        <v>1</v>
      </c>
      <c r="H6" s="35" t="s">
        <v>194</v>
      </c>
      <c r="I6" s="35" t="s">
        <v>147</v>
      </c>
      <c r="J6" s="36">
        <v>1</v>
      </c>
      <c r="K6" s="35" t="s">
        <v>194</v>
      </c>
      <c r="L6" s="35" t="s">
        <v>147</v>
      </c>
      <c r="M6" s="41">
        <v>1</v>
      </c>
    </row>
    <row r="7" spans="2:13">
      <c r="B7" s="40" t="s">
        <v>186</v>
      </c>
      <c r="C7" s="35" t="s">
        <v>147</v>
      </c>
      <c r="D7" s="36">
        <v>1</v>
      </c>
      <c r="E7" s="35" t="s">
        <v>194</v>
      </c>
      <c r="F7" s="35" t="s">
        <v>147</v>
      </c>
      <c r="G7" s="36">
        <v>1</v>
      </c>
      <c r="H7" s="35" t="s">
        <v>186</v>
      </c>
      <c r="I7" s="35" t="s">
        <v>147</v>
      </c>
      <c r="J7" s="36">
        <v>1</v>
      </c>
      <c r="K7" s="35" t="s">
        <v>186</v>
      </c>
      <c r="L7" s="35" t="s">
        <v>147</v>
      </c>
      <c r="M7" s="41">
        <v>1</v>
      </c>
    </row>
    <row r="8" spans="2:13">
      <c r="B8" s="40" t="s">
        <v>195</v>
      </c>
      <c r="C8" s="35" t="s">
        <v>147</v>
      </c>
      <c r="D8" s="36">
        <v>1</v>
      </c>
      <c r="E8" s="35" t="s">
        <v>157</v>
      </c>
      <c r="F8" s="35" t="s">
        <v>147</v>
      </c>
      <c r="G8" s="36">
        <v>1</v>
      </c>
      <c r="H8" s="35" t="s">
        <v>195</v>
      </c>
      <c r="I8" s="35" t="s">
        <v>147</v>
      </c>
      <c r="J8" s="36">
        <v>1</v>
      </c>
      <c r="K8" s="35" t="s">
        <v>195</v>
      </c>
      <c r="L8" s="35" t="s">
        <v>147</v>
      </c>
      <c r="M8" s="41">
        <v>1</v>
      </c>
    </row>
    <row r="9" spans="2:13">
      <c r="B9" s="40" t="s">
        <v>157</v>
      </c>
      <c r="C9" s="35" t="s">
        <v>147</v>
      </c>
      <c r="D9" s="36">
        <v>1</v>
      </c>
      <c r="E9" s="35" t="s">
        <v>196</v>
      </c>
      <c r="F9" s="35" t="s">
        <v>147</v>
      </c>
      <c r="G9" s="36">
        <v>1</v>
      </c>
      <c r="H9" s="35" t="s">
        <v>157</v>
      </c>
      <c r="I9" s="35" t="s">
        <v>147</v>
      </c>
      <c r="J9" s="36">
        <v>1</v>
      </c>
      <c r="K9" s="35" t="s">
        <v>157</v>
      </c>
      <c r="L9" s="35" t="s">
        <v>147</v>
      </c>
      <c r="M9" s="41">
        <v>1</v>
      </c>
    </row>
    <row r="10" spans="2:13">
      <c r="B10" s="40" t="s">
        <v>196</v>
      </c>
      <c r="C10" s="35" t="s">
        <v>147</v>
      </c>
      <c r="D10" s="36">
        <v>1</v>
      </c>
      <c r="E10" s="35" t="s">
        <v>195</v>
      </c>
      <c r="F10" s="35" t="s">
        <v>147</v>
      </c>
      <c r="G10" s="36">
        <v>1</v>
      </c>
      <c r="H10" s="35" t="s">
        <v>196</v>
      </c>
      <c r="I10" s="35" t="s">
        <v>147</v>
      </c>
      <c r="J10" s="36">
        <v>1</v>
      </c>
      <c r="K10" s="35" t="s">
        <v>196</v>
      </c>
      <c r="L10" s="35" t="s">
        <v>147</v>
      </c>
      <c r="M10" s="41">
        <v>1</v>
      </c>
    </row>
    <row r="11" spans="2:13">
      <c r="B11" s="40" t="s">
        <v>197</v>
      </c>
      <c r="C11" s="35" t="s">
        <v>147</v>
      </c>
      <c r="D11" s="36">
        <v>1</v>
      </c>
      <c r="E11" s="35" t="s">
        <v>197</v>
      </c>
      <c r="F11" s="35" t="s">
        <v>147</v>
      </c>
      <c r="G11" s="36">
        <v>1</v>
      </c>
      <c r="H11" s="35" t="s">
        <v>197</v>
      </c>
      <c r="I11" s="35" t="s">
        <v>147</v>
      </c>
      <c r="J11" s="36">
        <v>1</v>
      </c>
      <c r="K11" s="35" t="s">
        <v>197</v>
      </c>
      <c r="L11" s="35" t="s">
        <v>147</v>
      </c>
      <c r="M11" s="41">
        <v>1</v>
      </c>
    </row>
    <row r="12" spans="2:13">
      <c r="B12" s="40" t="s">
        <v>180</v>
      </c>
      <c r="C12" s="35" t="s">
        <v>147</v>
      </c>
      <c r="D12" s="36">
        <v>1</v>
      </c>
      <c r="E12" s="35" t="s">
        <v>200</v>
      </c>
      <c r="F12" s="35" t="s">
        <v>147</v>
      </c>
      <c r="G12" s="36">
        <v>1</v>
      </c>
      <c r="H12" s="35" t="s">
        <v>180</v>
      </c>
      <c r="I12" s="35" t="s">
        <v>147</v>
      </c>
      <c r="J12" s="36">
        <v>1</v>
      </c>
      <c r="K12" s="35" t="s">
        <v>180</v>
      </c>
      <c r="L12" s="35" t="s">
        <v>147</v>
      </c>
      <c r="M12" s="41">
        <v>1</v>
      </c>
    </row>
    <row r="13" spans="2:13">
      <c r="B13" s="40" t="s">
        <v>198</v>
      </c>
      <c r="C13" s="35" t="s">
        <v>147</v>
      </c>
      <c r="D13" s="36">
        <v>1</v>
      </c>
      <c r="E13" s="35" t="s">
        <v>180</v>
      </c>
      <c r="F13" s="35" t="s">
        <v>147</v>
      </c>
      <c r="G13" s="36">
        <v>1</v>
      </c>
      <c r="H13" s="35" t="s">
        <v>198</v>
      </c>
      <c r="I13" s="35" t="s">
        <v>147</v>
      </c>
      <c r="J13" s="36">
        <v>1</v>
      </c>
      <c r="K13" s="35" t="s">
        <v>198</v>
      </c>
      <c r="L13" s="35" t="s">
        <v>147</v>
      </c>
      <c r="M13" s="41">
        <v>1</v>
      </c>
    </row>
    <row r="14" spans="2:13">
      <c r="B14" s="40" t="s">
        <v>199</v>
      </c>
      <c r="C14" s="35" t="s">
        <v>147</v>
      </c>
      <c r="D14" s="36">
        <v>1</v>
      </c>
      <c r="E14" s="35" t="s">
        <v>198</v>
      </c>
      <c r="F14" s="35" t="s">
        <v>147</v>
      </c>
      <c r="G14" s="36">
        <v>1</v>
      </c>
      <c r="H14" s="44" t="s">
        <v>213</v>
      </c>
      <c r="I14" s="35" t="s">
        <v>147</v>
      </c>
      <c r="J14" s="36">
        <v>1</v>
      </c>
      <c r="K14" s="35" t="s">
        <v>213</v>
      </c>
      <c r="L14" s="35" t="s">
        <v>147</v>
      </c>
      <c r="M14" s="41">
        <v>1</v>
      </c>
    </row>
    <row r="15" spans="2:13">
      <c r="B15" s="40" t="s">
        <v>182</v>
      </c>
      <c r="C15" s="35" t="s">
        <v>147</v>
      </c>
      <c r="D15" s="36">
        <v>2</v>
      </c>
      <c r="E15" s="35" t="s">
        <v>199</v>
      </c>
      <c r="F15" s="35" t="s">
        <v>147</v>
      </c>
      <c r="G15" s="36">
        <v>1</v>
      </c>
      <c r="H15" s="35" t="s">
        <v>182</v>
      </c>
      <c r="I15" s="35" t="s">
        <v>147</v>
      </c>
      <c r="J15" s="36">
        <v>2</v>
      </c>
      <c r="K15" s="35" t="s">
        <v>182</v>
      </c>
      <c r="L15" s="35" t="s">
        <v>147</v>
      </c>
      <c r="M15" s="41">
        <v>2</v>
      </c>
    </row>
    <row r="16" spans="2:13">
      <c r="B16" s="40" t="s">
        <v>200</v>
      </c>
      <c r="C16" s="35" t="s">
        <v>147</v>
      </c>
      <c r="D16" s="36">
        <v>1</v>
      </c>
      <c r="E16" s="35" t="s">
        <v>182</v>
      </c>
      <c r="F16" s="35" t="s">
        <v>147</v>
      </c>
      <c r="G16" s="36">
        <v>2</v>
      </c>
      <c r="H16" s="35" t="s">
        <v>200</v>
      </c>
      <c r="I16" s="35" t="s">
        <v>147</v>
      </c>
      <c r="J16" s="36">
        <v>1</v>
      </c>
      <c r="K16" s="35" t="s">
        <v>200</v>
      </c>
      <c r="L16" s="35" t="s">
        <v>147</v>
      </c>
      <c r="M16" s="41">
        <v>1</v>
      </c>
    </row>
    <row r="17" spans="2:13">
      <c r="B17" s="40" t="s">
        <v>164</v>
      </c>
      <c r="C17" s="35" t="s">
        <v>147</v>
      </c>
      <c r="D17" s="36">
        <v>1</v>
      </c>
      <c r="E17" s="35" t="s">
        <v>164</v>
      </c>
      <c r="F17" s="35" t="s">
        <v>147</v>
      </c>
      <c r="G17" s="36">
        <v>1</v>
      </c>
      <c r="H17" s="35" t="s">
        <v>164</v>
      </c>
      <c r="I17" s="35" t="s">
        <v>147</v>
      </c>
      <c r="J17" s="36">
        <v>1</v>
      </c>
      <c r="K17" s="35" t="s">
        <v>164</v>
      </c>
      <c r="L17" s="35" t="s">
        <v>147</v>
      </c>
      <c r="M17" s="41">
        <v>1</v>
      </c>
    </row>
    <row r="18" spans="2:13">
      <c r="B18" s="40" t="s">
        <v>201</v>
      </c>
      <c r="C18" s="35" t="s">
        <v>147</v>
      </c>
      <c r="D18" s="36">
        <v>1</v>
      </c>
      <c r="E18" s="35" t="s">
        <v>201</v>
      </c>
      <c r="F18" s="35" t="s">
        <v>147</v>
      </c>
      <c r="G18" s="36">
        <v>1</v>
      </c>
      <c r="H18" s="35" t="s">
        <v>201</v>
      </c>
      <c r="I18" s="35" t="s">
        <v>147</v>
      </c>
      <c r="J18" s="36">
        <v>1</v>
      </c>
      <c r="K18" s="35" t="s">
        <v>201</v>
      </c>
      <c r="L18" s="35" t="s">
        <v>147</v>
      </c>
      <c r="M18" s="41">
        <v>1</v>
      </c>
    </row>
    <row r="19" spans="2:13">
      <c r="B19" s="40" t="s">
        <v>202</v>
      </c>
      <c r="C19" s="35" t="s">
        <v>147</v>
      </c>
      <c r="D19" s="36">
        <v>1</v>
      </c>
      <c r="E19" s="35" t="s">
        <v>202</v>
      </c>
      <c r="F19" s="35" t="s">
        <v>147</v>
      </c>
      <c r="G19" s="36">
        <v>1</v>
      </c>
      <c r="H19" s="35" t="s">
        <v>202</v>
      </c>
      <c r="I19" s="35" t="s">
        <v>147</v>
      </c>
      <c r="J19" s="36">
        <v>1</v>
      </c>
      <c r="K19" s="35" t="s">
        <v>202</v>
      </c>
      <c r="L19" s="35" t="s">
        <v>147</v>
      </c>
      <c r="M19" s="41">
        <v>1</v>
      </c>
    </row>
    <row r="20" spans="2:13">
      <c r="B20" s="40" t="s">
        <v>203</v>
      </c>
      <c r="C20" s="35" t="s">
        <v>147</v>
      </c>
      <c r="D20" s="36">
        <v>1</v>
      </c>
      <c r="E20" s="35" t="s">
        <v>204</v>
      </c>
      <c r="F20" s="35" t="s">
        <v>147</v>
      </c>
      <c r="G20" s="36">
        <v>1</v>
      </c>
      <c r="H20" s="35" t="s">
        <v>204</v>
      </c>
      <c r="I20" s="35" t="s">
        <v>147</v>
      </c>
      <c r="J20" s="36">
        <v>1</v>
      </c>
      <c r="K20" s="44" t="s">
        <v>214</v>
      </c>
      <c r="L20" s="35" t="s">
        <v>147</v>
      </c>
      <c r="M20" s="41">
        <v>1</v>
      </c>
    </row>
    <row r="21" spans="2:13">
      <c r="B21" s="40" t="s">
        <v>204</v>
      </c>
      <c r="C21" s="35" t="s">
        <v>147</v>
      </c>
      <c r="D21" s="36">
        <v>1</v>
      </c>
      <c r="E21" s="44" t="s">
        <v>191</v>
      </c>
      <c r="F21" s="35" t="s">
        <v>147</v>
      </c>
      <c r="G21" s="36">
        <v>1</v>
      </c>
      <c r="H21" s="35" t="s">
        <v>191</v>
      </c>
      <c r="I21" s="35" t="s">
        <v>147</v>
      </c>
      <c r="J21" s="36">
        <v>1</v>
      </c>
      <c r="K21" s="35" t="s">
        <v>191</v>
      </c>
      <c r="L21" s="35" t="s">
        <v>147</v>
      </c>
      <c r="M21" s="41">
        <v>1</v>
      </c>
    </row>
    <row r="22" spans="2:13">
      <c r="B22" s="40" t="s">
        <v>191</v>
      </c>
      <c r="C22" s="35" t="s">
        <v>147</v>
      </c>
      <c r="D22" s="36">
        <v>1</v>
      </c>
      <c r="E22" s="35" t="s">
        <v>191</v>
      </c>
      <c r="F22" s="35" t="s">
        <v>147</v>
      </c>
      <c r="G22" s="36">
        <v>1</v>
      </c>
      <c r="H22" s="35" t="s">
        <v>191</v>
      </c>
      <c r="I22" s="35" t="s">
        <v>147</v>
      </c>
      <c r="J22" s="36">
        <v>1</v>
      </c>
      <c r="K22" s="35" t="s">
        <v>191</v>
      </c>
      <c r="L22" s="35" t="s">
        <v>147</v>
      </c>
      <c r="M22" s="41">
        <v>1</v>
      </c>
    </row>
    <row r="23" spans="2:13">
      <c r="B23" s="40" t="s">
        <v>205</v>
      </c>
      <c r="C23" s="35" t="s">
        <v>147</v>
      </c>
      <c r="D23" s="36">
        <v>1</v>
      </c>
      <c r="E23" s="35" t="s">
        <v>205</v>
      </c>
      <c r="F23" s="35" t="s">
        <v>147</v>
      </c>
      <c r="G23" s="36">
        <v>1</v>
      </c>
      <c r="H23" s="35" t="s">
        <v>205</v>
      </c>
      <c r="I23" s="35" t="s">
        <v>147</v>
      </c>
      <c r="J23" s="36">
        <v>1</v>
      </c>
      <c r="K23" s="35" t="s">
        <v>205</v>
      </c>
      <c r="L23" s="35" t="s">
        <v>147</v>
      </c>
      <c r="M23" s="41">
        <v>1</v>
      </c>
    </row>
    <row r="24" spans="2:13">
      <c r="B24" s="40" t="s">
        <v>206</v>
      </c>
      <c r="C24" s="35" t="s">
        <v>147</v>
      </c>
      <c r="D24" s="36">
        <v>1</v>
      </c>
      <c r="E24" s="35" t="s">
        <v>206</v>
      </c>
      <c r="F24" s="35" t="s">
        <v>147</v>
      </c>
      <c r="G24" s="36">
        <v>1</v>
      </c>
      <c r="H24" s="35" t="s">
        <v>206</v>
      </c>
      <c r="I24" s="35" t="s">
        <v>147</v>
      </c>
      <c r="J24" s="36">
        <v>1</v>
      </c>
      <c r="K24" s="35" t="s">
        <v>206</v>
      </c>
      <c r="L24" s="35" t="s">
        <v>147</v>
      </c>
      <c r="M24" s="41">
        <v>1</v>
      </c>
    </row>
    <row r="25" spans="2:13">
      <c r="B25" s="40" t="s">
        <v>207</v>
      </c>
      <c r="C25" s="35" t="s">
        <v>147</v>
      </c>
      <c r="D25" s="36">
        <v>1</v>
      </c>
      <c r="E25" s="35" t="s">
        <v>207</v>
      </c>
      <c r="F25" s="35" t="s">
        <v>147</v>
      </c>
      <c r="G25" s="36">
        <v>1</v>
      </c>
      <c r="H25" s="35" t="s">
        <v>207</v>
      </c>
      <c r="I25" s="35" t="s">
        <v>147</v>
      </c>
      <c r="J25" s="36">
        <v>1</v>
      </c>
      <c r="K25" s="35" t="s">
        <v>207</v>
      </c>
      <c r="L25" s="35" t="s">
        <v>147</v>
      </c>
      <c r="M25" s="41">
        <v>1</v>
      </c>
    </row>
    <row r="26" spans="2:13">
      <c r="B26" s="40" t="s">
        <v>208</v>
      </c>
      <c r="C26" s="35" t="s">
        <v>147</v>
      </c>
      <c r="D26" s="36">
        <v>1</v>
      </c>
      <c r="E26" s="35" t="s">
        <v>208</v>
      </c>
      <c r="F26" s="35" t="s">
        <v>147</v>
      </c>
      <c r="G26" s="36">
        <v>1</v>
      </c>
      <c r="H26" s="35" t="s">
        <v>208</v>
      </c>
      <c r="I26" s="35" t="s">
        <v>147</v>
      </c>
      <c r="J26" s="36">
        <v>1</v>
      </c>
      <c r="K26" s="35" t="s">
        <v>208</v>
      </c>
      <c r="L26" s="35" t="s">
        <v>147</v>
      </c>
      <c r="M26" s="41">
        <v>1</v>
      </c>
    </row>
    <row r="27" spans="2:13">
      <c r="B27" s="40" t="s">
        <v>209</v>
      </c>
      <c r="C27" s="35" t="s">
        <v>147</v>
      </c>
      <c r="D27" s="36">
        <v>1</v>
      </c>
      <c r="E27" s="35" t="s">
        <v>209</v>
      </c>
      <c r="F27" s="35" t="s">
        <v>147</v>
      </c>
      <c r="G27" s="36">
        <v>1</v>
      </c>
      <c r="H27" s="35" t="s">
        <v>209</v>
      </c>
      <c r="I27" s="35" t="s">
        <v>147</v>
      </c>
      <c r="J27" s="36">
        <v>1</v>
      </c>
      <c r="K27" s="35" t="s">
        <v>209</v>
      </c>
      <c r="L27" s="35" t="s">
        <v>147</v>
      </c>
      <c r="M27" s="41">
        <v>1</v>
      </c>
    </row>
    <row r="28" spans="2:13">
      <c r="B28" s="40" t="s">
        <v>210</v>
      </c>
      <c r="C28" s="35" t="s">
        <v>147</v>
      </c>
      <c r="D28" s="36">
        <v>2</v>
      </c>
      <c r="E28" s="35" t="s">
        <v>210</v>
      </c>
      <c r="F28" s="35" t="s">
        <v>147</v>
      </c>
      <c r="G28" s="36">
        <v>2</v>
      </c>
      <c r="H28" s="35" t="s">
        <v>210</v>
      </c>
      <c r="I28" s="35" t="s">
        <v>147</v>
      </c>
      <c r="J28" s="36">
        <v>2</v>
      </c>
      <c r="K28" s="35" t="s">
        <v>210</v>
      </c>
      <c r="L28" s="35" t="s">
        <v>147</v>
      </c>
      <c r="M28" s="41">
        <v>2</v>
      </c>
    </row>
    <row r="29" spans="2:13" ht="27">
      <c r="B29" s="40" t="s">
        <v>171</v>
      </c>
      <c r="C29" s="35" t="s">
        <v>147</v>
      </c>
      <c r="D29" s="36">
        <v>1</v>
      </c>
      <c r="E29" s="35" t="s">
        <v>171</v>
      </c>
      <c r="F29" s="35" t="s">
        <v>147</v>
      </c>
      <c r="G29" s="36">
        <v>1</v>
      </c>
      <c r="H29" s="35" t="s">
        <v>171</v>
      </c>
      <c r="I29" s="35" t="s">
        <v>147</v>
      </c>
      <c r="J29" s="36">
        <v>1</v>
      </c>
      <c r="K29" s="35" t="s">
        <v>171</v>
      </c>
      <c r="L29" s="35" t="s">
        <v>147</v>
      </c>
      <c r="M29" s="41">
        <v>1</v>
      </c>
    </row>
    <row r="30" spans="2:13">
      <c r="B30" s="42"/>
      <c r="C30" s="37"/>
      <c r="D30" s="37">
        <f>SUM(D5:D29)</f>
        <v>27</v>
      </c>
      <c r="E30" s="37"/>
      <c r="F30" s="37"/>
      <c r="G30" s="37">
        <f>SUM(G5:G29)</f>
        <v>27</v>
      </c>
      <c r="H30" s="37"/>
      <c r="I30" s="37"/>
      <c r="J30" s="37">
        <f>SUM(J5:J29)</f>
        <v>27</v>
      </c>
      <c r="K30" s="37"/>
      <c r="L30" s="37"/>
      <c r="M30" s="43">
        <f>SUM(M5:M29)</f>
        <v>27</v>
      </c>
    </row>
    <row r="31" spans="2:13" ht="14.25" thickBot="1"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5"/>
    </row>
  </sheetData>
  <mergeCells count="5">
    <mergeCell ref="B2:J2"/>
    <mergeCell ref="B3:D3"/>
    <mergeCell ref="E3:G3"/>
    <mergeCell ref="H3:J3"/>
    <mergeCell ref="K3:M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5"/>
  <dimension ref="B1:AK22"/>
  <sheetViews>
    <sheetView workbookViewId="0">
      <selection activeCell="A16" sqref="A16"/>
    </sheetView>
  </sheetViews>
  <sheetFormatPr defaultRowHeight="13.5"/>
  <cols>
    <col min="1" max="1" width="9" style="1"/>
    <col min="2" max="2" width="25" style="1" customWidth="1"/>
    <col min="3" max="4" width="9" style="1"/>
    <col min="5" max="5" width="21.25" style="1" customWidth="1"/>
    <col min="6" max="7" width="9" style="1"/>
    <col min="8" max="8" width="21.5" style="1" bestFit="1" customWidth="1"/>
    <col min="9" max="9" width="9.125" style="1" bestFit="1" customWidth="1"/>
    <col min="10" max="10" width="9.25" style="1" bestFit="1" customWidth="1"/>
    <col min="11" max="11" width="21.5" style="1" bestFit="1" customWidth="1"/>
    <col min="12" max="12" width="9.125" style="1" bestFit="1" customWidth="1"/>
    <col min="13" max="13" width="9.25" style="1" bestFit="1" customWidth="1"/>
    <col min="14" max="14" width="20.625" style="1" customWidth="1"/>
    <col min="15" max="16" width="9" style="1"/>
    <col min="17" max="17" width="20.625" style="1" customWidth="1"/>
    <col min="18" max="19" width="9" style="1"/>
    <col min="20" max="20" width="20.625" style="1" customWidth="1"/>
    <col min="21" max="22" width="9" style="1"/>
    <col min="23" max="23" width="20.625" style="1" customWidth="1"/>
    <col min="24" max="25" width="9" style="1"/>
    <col min="26" max="26" width="20.625" style="1" customWidth="1"/>
    <col min="27" max="28" width="9" style="1"/>
    <col min="29" max="29" width="20.625" style="1" customWidth="1"/>
    <col min="30" max="31" width="9" style="1"/>
    <col min="32" max="32" width="20.625" style="1" customWidth="1"/>
    <col min="33" max="34" width="9" style="1"/>
    <col min="35" max="35" width="20.625" style="1" customWidth="1"/>
    <col min="36" max="16384" width="9" style="1"/>
  </cols>
  <sheetData>
    <row r="1" spans="2:37" ht="14.25" thickBot="1"/>
    <row r="2" spans="2:37" ht="14.25" thickBot="1">
      <c r="B2" s="48" t="s">
        <v>192</v>
      </c>
      <c r="C2" s="49"/>
      <c r="D2" s="49"/>
      <c r="E2" s="73"/>
      <c r="F2" s="73"/>
      <c r="G2" s="73"/>
      <c r="H2" s="73"/>
      <c r="I2" s="73"/>
      <c r="J2" s="73"/>
      <c r="K2" s="67"/>
      <c r="L2" s="67"/>
      <c r="M2" s="68"/>
      <c r="N2" s="63"/>
      <c r="O2" s="50"/>
      <c r="P2" s="51"/>
      <c r="Q2" s="63"/>
      <c r="R2" s="50"/>
      <c r="S2" s="51"/>
      <c r="T2" s="63"/>
      <c r="U2" s="50"/>
      <c r="V2" s="51"/>
      <c r="W2" s="57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1"/>
    </row>
    <row r="3" spans="2:37">
      <c r="B3" s="52" t="s">
        <v>172</v>
      </c>
      <c r="C3" s="45"/>
      <c r="D3" s="72"/>
      <c r="E3" s="74" t="s">
        <v>175</v>
      </c>
      <c r="F3" s="75"/>
      <c r="G3" s="76"/>
      <c r="H3" s="69" t="s">
        <v>176</v>
      </c>
      <c r="I3" s="70"/>
      <c r="J3" s="71"/>
      <c r="K3" s="69" t="s">
        <v>219</v>
      </c>
      <c r="L3" s="70"/>
      <c r="M3" s="71"/>
      <c r="N3" s="64" t="s">
        <v>220</v>
      </c>
      <c r="O3" s="46"/>
      <c r="P3" s="53"/>
      <c r="Q3" s="64" t="s">
        <v>179</v>
      </c>
      <c r="R3" s="46"/>
      <c r="S3" s="53"/>
      <c r="T3" s="64" t="s">
        <v>181</v>
      </c>
      <c r="U3" s="46"/>
      <c r="V3" s="53"/>
      <c r="W3" s="58" t="s">
        <v>183</v>
      </c>
      <c r="X3" s="46"/>
      <c r="Y3" s="46"/>
      <c r="Z3" s="46" t="s">
        <v>185</v>
      </c>
      <c r="AA3" s="46"/>
      <c r="AB3" s="46"/>
      <c r="AC3" s="46" t="s">
        <v>221</v>
      </c>
      <c r="AD3" s="46"/>
      <c r="AE3" s="46"/>
      <c r="AF3" s="46" t="s">
        <v>188</v>
      </c>
      <c r="AG3" s="46"/>
      <c r="AH3" s="46"/>
      <c r="AI3" s="46" t="s">
        <v>190</v>
      </c>
      <c r="AJ3" s="46"/>
      <c r="AK3" s="53"/>
    </row>
    <row r="4" spans="2:37">
      <c r="B4" s="42" t="s">
        <v>0</v>
      </c>
      <c r="C4" s="37" t="s">
        <v>1</v>
      </c>
      <c r="D4" s="56" t="s">
        <v>9</v>
      </c>
      <c r="E4" s="65" t="s">
        <v>0</v>
      </c>
      <c r="F4" s="47" t="s">
        <v>10</v>
      </c>
      <c r="G4" s="54" t="s">
        <v>9</v>
      </c>
      <c r="H4" s="65" t="s">
        <v>0</v>
      </c>
      <c r="I4" s="47" t="s">
        <v>10</v>
      </c>
      <c r="J4" s="54" t="s">
        <v>9</v>
      </c>
      <c r="K4" s="65" t="s">
        <v>0</v>
      </c>
      <c r="L4" s="47" t="s">
        <v>215</v>
      </c>
      <c r="M4" s="54" t="s">
        <v>216</v>
      </c>
      <c r="N4" s="65" t="s">
        <v>0</v>
      </c>
      <c r="O4" s="47" t="s">
        <v>215</v>
      </c>
      <c r="P4" s="54" t="s">
        <v>216</v>
      </c>
      <c r="Q4" s="65" t="s">
        <v>0</v>
      </c>
      <c r="R4" s="47" t="s">
        <v>10</v>
      </c>
      <c r="S4" s="54" t="s">
        <v>9</v>
      </c>
      <c r="T4" s="65" t="s">
        <v>0</v>
      </c>
      <c r="U4" s="47" t="s">
        <v>10</v>
      </c>
      <c r="V4" s="54" t="s">
        <v>9</v>
      </c>
      <c r="W4" s="59" t="s">
        <v>0</v>
      </c>
      <c r="X4" s="47" t="s">
        <v>10</v>
      </c>
      <c r="Y4" s="47" t="s">
        <v>9</v>
      </c>
      <c r="Z4" s="47" t="s">
        <v>0</v>
      </c>
      <c r="AA4" s="47" t="s">
        <v>10</v>
      </c>
      <c r="AB4" s="47" t="s">
        <v>9</v>
      </c>
      <c r="AC4" s="47" t="s">
        <v>0</v>
      </c>
      <c r="AD4" s="47" t="s">
        <v>10</v>
      </c>
      <c r="AE4" s="47" t="s">
        <v>9</v>
      </c>
      <c r="AF4" s="47" t="s">
        <v>0</v>
      </c>
      <c r="AG4" s="47" t="s">
        <v>10</v>
      </c>
      <c r="AH4" s="47" t="s">
        <v>9</v>
      </c>
      <c r="AI4" s="47" t="s">
        <v>0</v>
      </c>
      <c r="AJ4" s="47" t="s">
        <v>10</v>
      </c>
      <c r="AK4" s="54" t="s">
        <v>9</v>
      </c>
    </row>
    <row r="5" spans="2:37">
      <c r="B5" s="40" t="s">
        <v>156</v>
      </c>
      <c r="C5" s="35" t="s">
        <v>147</v>
      </c>
      <c r="D5" s="55">
        <v>1</v>
      </c>
      <c r="E5" s="40" t="s">
        <v>156</v>
      </c>
      <c r="F5" s="35" t="s">
        <v>147</v>
      </c>
      <c r="G5" s="41">
        <v>1</v>
      </c>
      <c r="H5" s="40" t="s">
        <v>156</v>
      </c>
      <c r="I5" s="35" t="s">
        <v>147</v>
      </c>
      <c r="J5" s="41">
        <v>1</v>
      </c>
      <c r="K5" s="40" t="s">
        <v>156</v>
      </c>
      <c r="L5" s="35" t="s">
        <v>147</v>
      </c>
      <c r="M5" s="41">
        <v>1</v>
      </c>
      <c r="N5" s="40" t="s">
        <v>156</v>
      </c>
      <c r="O5" s="35" t="s">
        <v>147</v>
      </c>
      <c r="P5" s="41">
        <v>1</v>
      </c>
      <c r="Q5" s="40" t="s">
        <v>156</v>
      </c>
      <c r="R5" s="35" t="s">
        <v>147</v>
      </c>
      <c r="S5" s="41">
        <v>1</v>
      </c>
      <c r="T5" s="40" t="s">
        <v>156</v>
      </c>
      <c r="U5" s="35" t="s">
        <v>147</v>
      </c>
      <c r="V5" s="41">
        <v>1</v>
      </c>
      <c r="W5" s="60" t="s">
        <v>156</v>
      </c>
      <c r="X5" s="35" t="s">
        <v>147</v>
      </c>
      <c r="Y5" s="36">
        <v>1</v>
      </c>
      <c r="Z5" s="44" t="s">
        <v>186</v>
      </c>
      <c r="AA5" s="35" t="s">
        <v>147</v>
      </c>
      <c r="AB5" s="36">
        <v>1</v>
      </c>
      <c r="AC5" s="35" t="s">
        <v>186</v>
      </c>
      <c r="AD5" s="35" t="s">
        <v>147</v>
      </c>
      <c r="AE5" s="36">
        <v>1</v>
      </c>
      <c r="AF5" s="35" t="s">
        <v>186</v>
      </c>
      <c r="AG5" s="35" t="s">
        <v>147</v>
      </c>
      <c r="AH5" s="36">
        <v>1</v>
      </c>
      <c r="AI5" s="35" t="s">
        <v>186</v>
      </c>
      <c r="AJ5" s="35" t="s">
        <v>147</v>
      </c>
      <c r="AK5" s="41">
        <v>1</v>
      </c>
    </row>
    <row r="6" spans="2:37">
      <c r="B6" s="40" t="s">
        <v>157</v>
      </c>
      <c r="C6" s="35" t="s">
        <v>147</v>
      </c>
      <c r="D6" s="55">
        <v>1</v>
      </c>
      <c r="E6" s="40" t="s">
        <v>157</v>
      </c>
      <c r="F6" s="35" t="s">
        <v>147</v>
      </c>
      <c r="G6" s="41">
        <v>1</v>
      </c>
      <c r="H6" s="40" t="s">
        <v>157</v>
      </c>
      <c r="I6" s="35" t="s">
        <v>147</v>
      </c>
      <c r="J6" s="41">
        <v>1</v>
      </c>
      <c r="K6" s="40" t="s">
        <v>157</v>
      </c>
      <c r="L6" s="35" t="s">
        <v>147</v>
      </c>
      <c r="M6" s="41">
        <v>1</v>
      </c>
      <c r="N6" s="40" t="s">
        <v>157</v>
      </c>
      <c r="O6" s="35" t="s">
        <v>147</v>
      </c>
      <c r="P6" s="41">
        <v>1</v>
      </c>
      <c r="Q6" s="40" t="s">
        <v>157</v>
      </c>
      <c r="R6" s="35" t="s">
        <v>147</v>
      </c>
      <c r="S6" s="41">
        <v>1</v>
      </c>
      <c r="T6" s="40" t="s">
        <v>157</v>
      </c>
      <c r="U6" s="35" t="s">
        <v>147</v>
      </c>
      <c r="V6" s="41">
        <v>1</v>
      </c>
      <c r="W6" s="60" t="s">
        <v>157</v>
      </c>
      <c r="X6" s="35" t="s">
        <v>147</v>
      </c>
      <c r="Y6" s="36">
        <v>1</v>
      </c>
      <c r="Z6" s="35" t="s">
        <v>157</v>
      </c>
      <c r="AA6" s="35" t="s">
        <v>147</v>
      </c>
      <c r="AB6" s="36">
        <v>1</v>
      </c>
      <c r="AC6" s="35" t="s">
        <v>157</v>
      </c>
      <c r="AD6" s="35" t="s">
        <v>147</v>
      </c>
      <c r="AE6" s="36">
        <v>1</v>
      </c>
      <c r="AF6" s="35" t="s">
        <v>157</v>
      </c>
      <c r="AG6" s="35" t="s">
        <v>147</v>
      </c>
      <c r="AH6" s="36">
        <v>1</v>
      </c>
      <c r="AI6" s="35" t="s">
        <v>157</v>
      </c>
      <c r="AJ6" s="35" t="s">
        <v>147</v>
      </c>
      <c r="AK6" s="41">
        <v>1</v>
      </c>
    </row>
    <row r="7" spans="2:37">
      <c r="B7" s="40" t="s">
        <v>158</v>
      </c>
      <c r="C7" s="35" t="s">
        <v>147</v>
      </c>
      <c r="D7" s="55">
        <v>1</v>
      </c>
      <c r="E7" s="40" t="s">
        <v>158</v>
      </c>
      <c r="F7" s="35" t="s">
        <v>147</v>
      </c>
      <c r="G7" s="41">
        <v>1</v>
      </c>
      <c r="H7" s="40" t="s">
        <v>158</v>
      </c>
      <c r="I7" s="35" t="s">
        <v>147</v>
      </c>
      <c r="J7" s="41">
        <v>1</v>
      </c>
      <c r="K7" s="40" t="s">
        <v>158</v>
      </c>
      <c r="L7" s="35" t="s">
        <v>147</v>
      </c>
      <c r="M7" s="41">
        <v>1</v>
      </c>
      <c r="N7" s="40" t="s">
        <v>158</v>
      </c>
      <c r="O7" s="35" t="s">
        <v>147</v>
      </c>
      <c r="P7" s="41">
        <v>1</v>
      </c>
      <c r="Q7" s="40" t="s">
        <v>158</v>
      </c>
      <c r="R7" s="35" t="s">
        <v>147</v>
      </c>
      <c r="S7" s="41">
        <v>1</v>
      </c>
      <c r="T7" s="40" t="s">
        <v>158</v>
      </c>
      <c r="U7" s="35" t="s">
        <v>147</v>
      </c>
      <c r="V7" s="41">
        <v>1</v>
      </c>
      <c r="W7" s="60" t="s">
        <v>158</v>
      </c>
      <c r="X7" s="35" t="s">
        <v>147</v>
      </c>
      <c r="Y7" s="36">
        <v>1</v>
      </c>
      <c r="Z7" s="35" t="s">
        <v>158</v>
      </c>
      <c r="AA7" s="35" t="s">
        <v>147</v>
      </c>
      <c r="AB7" s="36">
        <v>1</v>
      </c>
      <c r="AC7" s="35" t="s">
        <v>158</v>
      </c>
      <c r="AD7" s="35" t="s">
        <v>147</v>
      </c>
      <c r="AE7" s="36">
        <v>1</v>
      </c>
      <c r="AF7" s="35" t="s">
        <v>158</v>
      </c>
      <c r="AG7" s="35" t="s">
        <v>147</v>
      </c>
      <c r="AH7" s="36">
        <v>1</v>
      </c>
      <c r="AI7" s="35" t="s">
        <v>158</v>
      </c>
      <c r="AJ7" s="35" t="s">
        <v>147</v>
      </c>
      <c r="AK7" s="41">
        <v>1</v>
      </c>
    </row>
    <row r="8" spans="2:37">
      <c r="B8" s="40" t="s">
        <v>159</v>
      </c>
      <c r="C8" s="35" t="s">
        <v>147</v>
      </c>
      <c r="D8" s="55">
        <v>1</v>
      </c>
      <c r="E8" s="40" t="s">
        <v>159</v>
      </c>
      <c r="F8" s="35" t="s">
        <v>147</v>
      </c>
      <c r="G8" s="41">
        <v>1</v>
      </c>
      <c r="H8" s="40" t="s">
        <v>159</v>
      </c>
      <c r="I8" s="35" t="s">
        <v>147</v>
      </c>
      <c r="J8" s="41">
        <v>1</v>
      </c>
      <c r="K8" s="40" t="s">
        <v>159</v>
      </c>
      <c r="L8" s="35" t="s">
        <v>147</v>
      </c>
      <c r="M8" s="41">
        <v>1</v>
      </c>
      <c r="N8" s="40" t="s">
        <v>159</v>
      </c>
      <c r="O8" s="35" t="s">
        <v>147</v>
      </c>
      <c r="P8" s="41">
        <v>1</v>
      </c>
      <c r="Q8" s="66" t="s">
        <v>180</v>
      </c>
      <c r="R8" s="35" t="s">
        <v>147</v>
      </c>
      <c r="S8" s="41">
        <v>1</v>
      </c>
      <c r="T8" s="40" t="s">
        <v>180</v>
      </c>
      <c r="U8" s="35" t="s">
        <v>147</v>
      </c>
      <c r="V8" s="41">
        <v>1</v>
      </c>
      <c r="W8" s="60" t="s">
        <v>180</v>
      </c>
      <c r="X8" s="35" t="s">
        <v>147</v>
      </c>
      <c r="Y8" s="36">
        <v>1</v>
      </c>
      <c r="Z8" s="35" t="s">
        <v>180</v>
      </c>
      <c r="AA8" s="35" t="s">
        <v>147</v>
      </c>
      <c r="AB8" s="36">
        <v>1</v>
      </c>
      <c r="AC8" s="35" t="s">
        <v>180</v>
      </c>
      <c r="AD8" s="35" t="s">
        <v>147</v>
      </c>
      <c r="AE8" s="36">
        <v>1</v>
      </c>
      <c r="AF8" s="35" t="s">
        <v>180</v>
      </c>
      <c r="AG8" s="35" t="s">
        <v>147</v>
      </c>
      <c r="AH8" s="36">
        <v>1</v>
      </c>
      <c r="AI8" s="35" t="s">
        <v>180</v>
      </c>
      <c r="AJ8" s="35" t="s">
        <v>147</v>
      </c>
      <c r="AK8" s="41">
        <v>1</v>
      </c>
    </row>
    <row r="9" spans="2:37">
      <c r="B9" s="40" t="s">
        <v>160</v>
      </c>
      <c r="C9" s="35" t="s">
        <v>147</v>
      </c>
      <c r="D9" s="55">
        <v>1</v>
      </c>
      <c r="E9" s="40" t="s">
        <v>160</v>
      </c>
      <c r="F9" s="35" t="s">
        <v>147</v>
      </c>
      <c r="G9" s="41">
        <v>1</v>
      </c>
      <c r="H9" s="40" t="s">
        <v>160</v>
      </c>
      <c r="I9" s="35" t="s">
        <v>147</v>
      </c>
      <c r="J9" s="41">
        <v>1</v>
      </c>
      <c r="K9" s="40" t="s">
        <v>160</v>
      </c>
      <c r="L9" s="35" t="s">
        <v>147</v>
      </c>
      <c r="M9" s="41">
        <v>1</v>
      </c>
      <c r="N9" s="40" t="s">
        <v>160</v>
      </c>
      <c r="O9" s="35" t="s">
        <v>147</v>
      </c>
      <c r="P9" s="41">
        <v>1</v>
      </c>
      <c r="Q9" s="40" t="s">
        <v>160</v>
      </c>
      <c r="R9" s="35" t="s">
        <v>147</v>
      </c>
      <c r="S9" s="41">
        <v>1</v>
      </c>
      <c r="T9" s="40" t="s">
        <v>160</v>
      </c>
      <c r="U9" s="35" t="s">
        <v>147</v>
      </c>
      <c r="V9" s="41">
        <v>1</v>
      </c>
      <c r="W9" s="60" t="s">
        <v>160</v>
      </c>
      <c r="X9" s="35" t="s">
        <v>147</v>
      </c>
      <c r="Y9" s="36">
        <v>1</v>
      </c>
      <c r="Z9" s="35" t="s">
        <v>160</v>
      </c>
      <c r="AA9" s="35" t="s">
        <v>147</v>
      </c>
      <c r="AB9" s="36">
        <v>1</v>
      </c>
      <c r="AC9" s="35" t="s">
        <v>160</v>
      </c>
      <c r="AD9" s="35" t="s">
        <v>147</v>
      </c>
      <c r="AE9" s="36">
        <v>1</v>
      </c>
      <c r="AF9" s="35" t="s">
        <v>160</v>
      </c>
      <c r="AG9" s="35" t="s">
        <v>147</v>
      </c>
      <c r="AH9" s="36">
        <v>1</v>
      </c>
      <c r="AI9" s="35" t="s">
        <v>160</v>
      </c>
      <c r="AJ9" s="35" t="s">
        <v>147</v>
      </c>
      <c r="AK9" s="41">
        <v>1</v>
      </c>
    </row>
    <row r="10" spans="2:37">
      <c r="B10" s="40" t="s">
        <v>161</v>
      </c>
      <c r="C10" s="35" t="s">
        <v>147</v>
      </c>
      <c r="D10" s="55">
        <v>1</v>
      </c>
      <c r="E10" s="40" t="s">
        <v>161</v>
      </c>
      <c r="F10" s="35" t="s">
        <v>147</v>
      </c>
      <c r="G10" s="41">
        <v>1</v>
      </c>
      <c r="H10" s="40" t="s">
        <v>161</v>
      </c>
      <c r="I10" s="35" t="s">
        <v>147</v>
      </c>
      <c r="J10" s="41">
        <v>1</v>
      </c>
      <c r="K10" s="40" t="s">
        <v>161</v>
      </c>
      <c r="L10" s="35" t="s">
        <v>147</v>
      </c>
      <c r="M10" s="41">
        <v>1</v>
      </c>
      <c r="N10" s="40" t="s">
        <v>161</v>
      </c>
      <c r="O10" s="35" t="s">
        <v>147</v>
      </c>
      <c r="P10" s="41">
        <v>1</v>
      </c>
      <c r="Q10" s="40" t="s">
        <v>161</v>
      </c>
      <c r="R10" s="35" t="s">
        <v>147</v>
      </c>
      <c r="S10" s="41">
        <v>1</v>
      </c>
      <c r="T10" s="66" t="s">
        <v>182</v>
      </c>
      <c r="U10" s="35" t="s">
        <v>147</v>
      </c>
      <c r="V10" s="41">
        <v>1</v>
      </c>
      <c r="W10" s="60" t="s">
        <v>182</v>
      </c>
      <c r="X10" s="35" t="s">
        <v>147</v>
      </c>
      <c r="Y10" s="36">
        <v>1</v>
      </c>
      <c r="Z10" s="35" t="s">
        <v>182</v>
      </c>
      <c r="AA10" s="35" t="s">
        <v>147</v>
      </c>
      <c r="AB10" s="36">
        <v>1</v>
      </c>
      <c r="AC10" s="35" t="s">
        <v>182</v>
      </c>
      <c r="AD10" s="35" t="s">
        <v>147</v>
      </c>
      <c r="AE10" s="36">
        <v>1</v>
      </c>
      <c r="AF10" s="35" t="s">
        <v>182</v>
      </c>
      <c r="AG10" s="35" t="s">
        <v>147</v>
      </c>
      <c r="AH10" s="36">
        <v>1</v>
      </c>
      <c r="AI10" s="35" t="s">
        <v>182</v>
      </c>
      <c r="AJ10" s="35" t="s">
        <v>147</v>
      </c>
      <c r="AK10" s="41">
        <v>1</v>
      </c>
    </row>
    <row r="11" spans="2:37">
      <c r="B11" s="40" t="s">
        <v>162</v>
      </c>
      <c r="C11" s="35" t="s">
        <v>147</v>
      </c>
      <c r="D11" s="55">
        <v>1</v>
      </c>
      <c r="E11" s="40" t="s">
        <v>162</v>
      </c>
      <c r="F11" s="35" t="s">
        <v>147</v>
      </c>
      <c r="G11" s="41">
        <v>1</v>
      </c>
      <c r="H11" s="40" t="s">
        <v>162</v>
      </c>
      <c r="I11" s="35" t="s">
        <v>147</v>
      </c>
      <c r="J11" s="41">
        <v>1</v>
      </c>
      <c r="K11" s="66" t="s">
        <v>177</v>
      </c>
      <c r="L11" s="35" t="s">
        <v>147</v>
      </c>
      <c r="M11" s="41">
        <v>1</v>
      </c>
      <c r="N11" s="40" t="s">
        <v>177</v>
      </c>
      <c r="O11" s="35" t="s">
        <v>147</v>
      </c>
      <c r="P11" s="41">
        <v>1</v>
      </c>
      <c r="Q11" s="40" t="s">
        <v>177</v>
      </c>
      <c r="R11" s="35" t="s">
        <v>147</v>
      </c>
      <c r="S11" s="41">
        <v>1</v>
      </c>
      <c r="T11" s="40" t="s">
        <v>177</v>
      </c>
      <c r="U11" s="35" t="s">
        <v>147</v>
      </c>
      <c r="V11" s="41">
        <v>1</v>
      </c>
      <c r="W11" s="60" t="s">
        <v>177</v>
      </c>
      <c r="X11" s="35" t="s">
        <v>147</v>
      </c>
      <c r="Y11" s="36">
        <v>1</v>
      </c>
      <c r="Z11" s="35" t="s">
        <v>177</v>
      </c>
      <c r="AA11" s="35" t="s">
        <v>147</v>
      </c>
      <c r="AB11" s="36">
        <v>1</v>
      </c>
      <c r="AC11" s="35" t="s">
        <v>177</v>
      </c>
      <c r="AD11" s="35" t="s">
        <v>147</v>
      </c>
      <c r="AE11" s="36">
        <v>1</v>
      </c>
      <c r="AF11" s="44" t="s">
        <v>189</v>
      </c>
      <c r="AG11" s="35" t="s">
        <v>147</v>
      </c>
      <c r="AH11" s="36">
        <v>1</v>
      </c>
      <c r="AI11" s="35" t="s">
        <v>189</v>
      </c>
      <c r="AJ11" s="35" t="s">
        <v>147</v>
      </c>
      <c r="AK11" s="41">
        <v>1</v>
      </c>
    </row>
    <row r="12" spans="2:37">
      <c r="B12" s="40" t="s">
        <v>163</v>
      </c>
      <c r="C12" s="35" t="s">
        <v>147</v>
      </c>
      <c r="D12" s="55">
        <v>1</v>
      </c>
      <c r="E12" s="40" t="s">
        <v>163</v>
      </c>
      <c r="F12" s="35" t="s">
        <v>147</v>
      </c>
      <c r="G12" s="41">
        <v>1</v>
      </c>
      <c r="H12" s="40" t="s">
        <v>163</v>
      </c>
      <c r="I12" s="35" t="s">
        <v>147</v>
      </c>
      <c r="J12" s="41">
        <v>1</v>
      </c>
      <c r="K12" s="40" t="s">
        <v>163</v>
      </c>
      <c r="L12" s="35" t="s">
        <v>147</v>
      </c>
      <c r="M12" s="41">
        <v>1</v>
      </c>
      <c r="N12" s="66" t="s">
        <v>178</v>
      </c>
      <c r="O12" s="35" t="s">
        <v>147</v>
      </c>
      <c r="P12" s="41">
        <v>1</v>
      </c>
      <c r="Q12" s="40" t="s">
        <v>178</v>
      </c>
      <c r="R12" s="35" t="s">
        <v>147</v>
      </c>
      <c r="S12" s="41">
        <v>1</v>
      </c>
      <c r="T12" s="40" t="s">
        <v>178</v>
      </c>
      <c r="U12" s="35" t="s">
        <v>147</v>
      </c>
      <c r="V12" s="41">
        <v>1</v>
      </c>
      <c r="W12" s="60" t="s">
        <v>178</v>
      </c>
      <c r="X12" s="35" t="s">
        <v>147</v>
      </c>
      <c r="Y12" s="36">
        <v>1</v>
      </c>
      <c r="Z12" s="35" t="s">
        <v>178</v>
      </c>
      <c r="AA12" s="35" t="s">
        <v>147</v>
      </c>
      <c r="AB12" s="36">
        <v>1</v>
      </c>
      <c r="AC12" s="35" t="s">
        <v>178</v>
      </c>
      <c r="AD12" s="35" t="s">
        <v>147</v>
      </c>
      <c r="AE12" s="36">
        <v>1</v>
      </c>
      <c r="AF12" s="35" t="s">
        <v>178</v>
      </c>
      <c r="AG12" s="35" t="s">
        <v>147</v>
      </c>
      <c r="AH12" s="36">
        <v>1</v>
      </c>
      <c r="AI12" s="35" t="s">
        <v>178</v>
      </c>
      <c r="AJ12" s="35" t="s">
        <v>147</v>
      </c>
      <c r="AK12" s="41">
        <v>1</v>
      </c>
    </row>
    <row r="13" spans="2:37">
      <c r="B13" s="40" t="s">
        <v>164</v>
      </c>
      <c r="C13" s="35" t="s">
        <v>147</v>
      </c>
      <c r="D13" s="55">
        <v>1</v>
      </c>
      <c r="E13" s="40" t="s">
        <v>164</v>
      </c>
      <c r="F13" s="35" t="s">
        <v>147</v>
      </c>
      <c r="G13" s="41">
        <v>1</v>
      </c>
      <c r="H13" s="40" t="s">
        <v>164</v>
      </c>
      <c r="I13" s="35" t="s">
        <v>147</v>
      </c>
      <c r="J13" s="41">
        <v>1</v>
      </c>
      <c r="K13" s="40" t="s">
        <v>164</v>
      </c>
      <c r="L13" s="35" t="s">
        <v>147</v>
      </c>
      <c r="M13" s="41">
        <v>1</v>
      </c>
      <c r="N13" s="40" t="s">
        <v>164</v>
      </c>
      <c r="O13" s="35" t="s">
        <v>147</v>
      </c>
      <c r="P13" s="41">
        <v>1</v>
      </c>
      <c r="Q13" s="40" t="s">
        <v>164</v>
      </c>
      <c r="R13" s="35" t="s">
        <v>147</v>
      </c>
      <c r="S13" s="41">
        <v>1</v>
      </c>
      <c r="T13" s="40" t="s">
        <v>164</v>
      </c>
      <c r="U13" s="35" t="s">
        <v>147</v>
      </c>
      <c r="V13" s="41">
        <v>1</v>
      </c>
      <c r="W13" s="60" t="s">
        <v>164</v>
      </c>
      <c r="X13" s="35" t="s">
        <v>147</v>
      </c>
      <c r="Y13" s="36">
        <v>1</v>
      </c>
      <c r="Z13" s="35" t="s">
        <v>164</v>
      </c>
      <c r="AA13" s="35" t="s">
        <v>147</v>
      </c>
      <c r="AB13" s="36">
        <v>1</v>
      </c>
      <c r="AC13" s="35" t="s">
        <v>164</v>
      </c>
      <c r="AD13" s="35" t="s">
        <v>147</v>
      </c>
      <c r="AE13" s="36">
        <v>1</v>
      </c>
      <c r="AF13" s="35" t="s">
        <v>164</v>
      </c>
      <c r="AG13" s="35" t="s">
        <v>147</v>
      </c>
      <c r="AH13" s="36">
        <v>1</v>
      </c>
      <c r="AI13" s="35" t="s">
        <v>164</v>
      </c>
      <c r="AJ13" s="35" t="s">
        <v>147</v>
      </c>
      <c r="AK13" s="41">
        <v>1</v>
      </c>
    </row>
    <row r="14" spans="2:37">
      <c r="B14" s="40" t="s">
        <v>165</v>
      </c>
      <c r="C14" s="35" t="s">
        <v>147</v>
      </c>
      <c r="D14" s="55">
        <v>1</v>
      </c>
      <c r="E14" s="40" t="s">
        <v>165</v>
      </c>
      <c r="F14" s="35" t="s">
        <v>147</v>
      </c>
      <c r="G14" s="41">
        <v>1</v>
      </c>
      <c r="H14" s="40" t="s">
        <v>165</v>
      </c>
      <c r="I14" s="35" t="s">
        <v>147</v>
      </c>
      <c r="J14" s="41">
        <v>1</v>
      </c>
      <c r="K14" s="40" t="s">
        <v>165</v>
      </c>
      <c r="L14" s="35" t="s">
        <v>147</v>
      </c>
      <c r="M14" s="41">
        <v>1</v>
      </c>
      <c r="N14" s="40" t="s">
        <v>165</v>
      </c>
      <c r="O14" s="35" t="s">
        <v>147</v>
      </c>
      <c r="P14" s="41">
        <v>1</v>
      </c>
      <c r="Q14" s="40" t="s">
        <v>165</v>
      </c>
      <c r="R14" s="35" t="s">
        <v>147</v>
      </c>
      <c r="S14" s="41">
        <v>1</v>
      </c>
      <c r="T14" s="40" t="s">
        <v>165</v>
      </c>
      <c r="U14" s="35" t="s">
        <v>147</v>
      </c>
      <c r="V14" s="41">
        <v>1</v>
      </c>
      <c r="W14" s="60" t="s">
        <v>165</v>
      </c>
      <c r="X14" s="35" t="s">
        <v>147</v>
      </c>
      <c r="Y14" s="36">
        <v>1</v>
      </c>
      <c r="Z14" s="35" t="s">
        <v>165</v>
      </c>
      <c r="AA14" s="35" t="s">
        <v>147</v>
      </c>
      <c r="AB14" s="36">
        <v>1</v>
      </c>
      <c r="AC14" s="35" t="s">
        <v>165</v>
      </c>
      <c r="AD14" s="35" t="s">
        <v>147</v>
      </c>
      <c r="AE14" s="36">
        <v>1</v>
      </c>
      <c r="AF14" s="35" t="s">
        <v>165</v>
      </c>
      <c r="AG14" s="35" t="s">
        <v>147</v>
      </c>
      <c r="AH14" s="36">
        <v>1</v>
      </c>
      <c r="AI14" s="35" t="s">
        <v>165</v>
      </c>
      <c r="AJ14" s="35" t="s">
        <v>147</v>
      </c>
      <c r="AK14" s="41">
        <v>1</v>
      </c>
    </row>
    <row r="15" spans="2:37">
      <c r="B15" s="40" t="s">
        <v>166</v>
      </c>
      <c r="C15" s="35" t="s">
        <v>147</v>
      </c>
      <c r="D15" s="55">
        <v>1</v>
      </c>
      <c r="E15" s="40" t="s">
        <v>166</v>
      </c>
      <c r="F15" s="35" t="s">
        <v>147</v>
      </c>
      <c r="G15" s="41">
        <v>1</v>
      </c>
      <c r="H15" s="40" t="s">
        <v>166</v>
      </c>
      <c r="I15" s="35" t="s">
        <v>147</v>
      </c>
      <c r="J15" s="41">
        <v>1</v>
      </c>
      <c r="K15" s="40" t="s">
        <v>166</v>
      </c>
      <c r="L15" s="35" t="s">
        <v>147</v>
      </c>
      <c r="M15" s="41">
        <v>1</v>
      </c>
      <c r="N15" s="40" t="s">
        <v>166</v>
      </c>
      <c r="O15" s="35" t="s">
        <v>147</v>
      </c>
      <c r="P15" s="41">
        <v>1</v>
      </c>
      <c r="Q15" s="40" t="s">
        <v>166</v>
      </c>
      <c r="R15" s="35" t="s">
        <v>147</v>
      </c>
      <c r="S15" s="41">
        <v>1</v>
      </c>
      <c r="T15" s="40" t="s">
        <v>166</v>
      </c>
      <c r="U15" s="35" t="s">
        <v>147</v>
      </c>
      <c r="V15" s="41">
        <v>1</v>
      </c>
      <c r="W15" s="60" t="s">
        <v>166</v>
      </c>
      <c r="X15" s="35" t="s">
        <v>147</v>
      </c>
      <c r="Y15" s="36">
        <v>1</v>
      </c>
      <c r="Z15" s="35" t="s">
        <v>166</v>
      </c>
      <c r="AA15" s="35" t="s">
        <v>147</v>
      </c>
      <c r="AB15" s="36">
        <v>1</v>
      </c>
      <c r="AC15" s="35" t="s">
        <v>166</v>
      </c>
      <c r="AD15" s="35" t="s">
        <v>147</v>
      </c>
      <c r="AE15" s="36">
        <v>1</v>
      </c>
      <c r="AF15" s="35" t="s">
        <v>166</v>
      </c>
      <c r="AG15" s="35" t="s">
        <v>147</v>
      </c>
      <c r="AH15" s="36">
        <v>1</v>
      </c>
      <c r="AI15" s="44" t="s">
        <v>191</v>
      </c>
      <c r="AJ15" s="35" t="s">
        <v>147</v>
      </c>
      <c r="AK15" s="41">
        <v>1</v>
      </c>
    </row>
    <row r="16" spans="2:37">
      <c r="B16" s="40" t="s">
        <v>167</v>
      </c>
      <c r="C16" s="35" t="s">
        <v>147</v>
      </c>
      <c r="D16" s="55">
        <v>1</v>
      </c>
      <c r="E16" s="40" t="s">
        <v>167</v>
      </c>
      <c r="F16" s="35" t="s">
        <v>147</v>
      </c>
      <c r="G16" s="41">
        <v>1</v>
      </c>
      <c r="H16" s="40" t="s">
        <v>167</v>
      </c>
      <c r="I16" s="35" t="s">
        <v>147</v>
      </c>
      <c r="J16" s="41">
        <v>1</v>
      </c>
      <c r="K16" s="40" t="s">
        <v>167</v>
      </c>
      <c r="L16" s="35" t="s">
        <v>147</v>
      </c>
      <c r="M16" s="41">
        <v>1</v>
      </c>
      <c r="N16" s="40" t="s">
        <v>167</v>
      </c>
      <c r="O16" s="35" t="s">
        <v>147</v>
      </c>
      <c r="P16" s="41">
        <v>1</v>
      </c>
      <c r="Q16" s="40" t="s">
        <v>167</v>
      </c>
      <c r="R16" s="35" t="s">
        <v>147</v>
      </c>
      <c r="S16" s="41">
        <v>1</v>
      </c>
      <c r="T16" s="40" t="s">
        <v>167</v>
      </c>
      <c r="U16" s="35" t="s">
        <v>147</v>
      </c>
      <c r="V16" s="41">
        <v>1</v>
      </c>
      <c r="W16" s="60" t="s">
        <v>167</v>
      </c>
      <c r="X16" s="35" t="s">
        <v>147</v>
      </c>
      <c r="Y16" s="36">
        <v>1</v>
      </c>
      <c r="Z16" s="35" t="s">
        <v>167</v>
      </c>
      <c r="AA16" s="35" t="s">
        <v>147</v>
      </c>
      <c r="AB16" s="36">
        <v>1</v>
      </c>
      <c r="AC16" s="44" t="s">
        <v>187</v>
      </c>
      <c r="AD16" s="35" t="s">
        <v>147</v>
      </c>
      <c r="AE16" s="36">
        <v>1</v>
      </c>
      <c r="AF16" s="35" t="s">
        <v>187</v>
      </c>
      <c r="AG16" s="35" t="s">
        <v>147</v>
      </c>
      <c r="AH16" s="36">
        <v>1</v>
      </c>
      <c r="AI16" s="35" t="s">
        <v>187</v>
      </c>
      <c r="AJ16" s="35" t="s">
        <v>147</v>
      </c>
      <c r="AK16" s="41">
        <v>1</v>
      </c>
    </row>
    <row r="17" spans="2:37">
      <c r="B17" s="40" t="s">
        <v>168</v>
      </c>
      <c r="C17" s="35" t="s">
        <v>147</v>
      </c>
      <c r="D17" s="55">
        <v>1</v>
      </c>
      <c r="E17" s="40" t="s">
        <v>168</v>
      </c>
      <c r="F17" s="35" t="s">
        <v>147</v>
      </c>
      <c r="G17" s="41">
        <v>1</v>
      </c>
      <c r="H17" s="40" t="s">
        <v>168</v>
      </c>
      <c r="I17" s="35" t="s">
        <v>147</v>
      </c>
      <c r="J17" s="41">
        <v>1</v>
      </c>
      <c r="K17" s="40" t="s">
        <v>168</v>
      </c>
      <c r="L17" s="35" t="s">
        <v>147</v>
      </c>
      <c r="M17" s="41">
        <v>1</v>
      </c>
      <c r="N17" s="40" t="s">
        <v>168</v>
      </c>
      <c r="O17" s="35" t="s">
        <v>147</v>
      </c>
      <c r="P17" s="41">
        <v>1</v>
      </c>
      <c r="Q17" s="40" t="s">
        <v>168</v>
      </c>
      <c r="R17" s="35" t="s">
        <v>147</v>
      </c>
      <c r="S17" s="41">
        <v>1</v>
      </c>
      <c r="T17" s="40" t="s">
        <v>168</v>
      </c>
      <c r="U17" s="35" t="s">
        <v>147</v>
      </c>
      <c r="V17" s="41">
        <v>1</v>
      </c>
      <c r="W17" s="60" t="s">
        <v>168</v>
      </c>
      <c r="X17" s="35" t="s">
        <v>147</v>
      </c>
      <c r="Y17" s="36">
        <v>1</v>
      </c>
      <c r="Z17" s="35" t="s">
        <v>168</v>
      </c>
      <c r="AA17" s="35" t="s">
        <v>147</v>
      </c>
      <c r="AB17" s="36">
        <v>1</v>
      </c>
      <c r="AC17" s="35" t="s">
        <v>168</v>
      </c>
      <c r="AD17" s="35" t="s">
        <v>147</v>
      </c>
      <c r="AE17" s="36">
        <v>1</v>
      </c>
      <c r="AF17" s="35" t="s">
        <v>168</v>
      </c>
      <c r="AG17" s="35" t="s">
        <v>147</v>
      </c>
      <c r="AH17" s="36">
        <v>1</v>
      </c>
      <c r="AI17" s="35" t="s">
        <v>168</v>
      </c>
      <c r="AJ17" s="35" t="s">
        <v>147</v>
      </c>
      <c r="AK17" s="41">
        <v>1</v>
      </c>
    </row>
    <row r="18" spans="2:37">
      <c r="B18" s="40" t="s">
        <v>169</v>
      </c>
      <c r="C18" s="35" t="s">
        <v>147</v>
      </c>
      <c r="D18" s="55">
        <v>1</v>
      </c>
      <c r="E18" s="66" t="s">
        <v>173</v>
      </c>
      <c r="F18" s="35" t="s">
        <v>147</v>
      </c>
      <c r="G18" s="41">
        <v>1</v>
      </c>
      <c r="H18" s="40" t="s">
        <v>173</v>
      </c>
      <c r="I18" s="35" t="s">
        <v>147</v>
      </c>
      <c r="J18" s="41">
        <v>1</v>
      </c>
      <c r="K18" s="40" t="s">
        <v>173</v>
      </c>
      <c r="L18" s="35" t="s">
        <v>147</v>
      </c>
      <c r="M18" s="41">
        <v>1</v>
      </c>
      <c r="N18" s="40" t="s">
        <v>173</v>
      </c>
      <c r="O18" s="35" t="s">
        <v>147</v>
      </c>
      <c r="P18" s="41">
        <v>1</v>
      </c>
      <c r="Q18" s="40" t="s">
        <v>173</v>
      </c>
      <c r="R18" s="35" t="s">
        <v>147</v>
      </c>
      <c r="S18" s="41">
        <v>1</v>
      </c>
      <c r="T18" s="40" t="s">
        <v>173</v>
      </c>
      <c r="U18" s="35" t="s">
        <v>147</v>
      </c>
      <c r="V18" s="41">
        <v>1</v>
      </c>
      <c r="W18" s="61" t="s">
        <v>184</v>
      </c>
      <c r="X18" s="35" t="s">
        <v>147</v>
      </c>
      <c r="Y18" s="36">
        <v>1</v>
      </c>
      <c r="Z18" s="35" t="s">
        <v>184</v>
      </c>
      <c r="AA18" s="35" t="s">
        <v>147</v>
      </c>
      <c r="AB18" s="36">
        <v>1</v>
      </c>
      <c r="AC18" s="35" t="s">
        <v>184</v>
      </c>
      <c r="AD18" s="35" t="s">
        <v>147</v>
      </c>
      <c r="AE18" s="36">
        <v>1</v>
      </c>
      <c r="AF18" s="35" t="s">
        <v>184</v>
      </c>
      <c r="AG18" s="35" t="s">
        <v>147</v>
      </c>
      <c r="AH18" s="36">
        <v>1</v>
      </c>
      <c r="AI18" s="35" t="s">
        <v>184</v>
      </c>
      <c r="AJ18" s="35" t="s">
        <v>147</v>
      </c>
      <c r="AK18" s="41">
        <v>1</v>
      </c>
    </row>
    <row r="19" spans="2:37">
      <c r="B19" s="40" t="s">
        <v>170</v>
      </c>
      <c r="C19" s="35" t="s">
        <v>147</v>
      </c>
      <c r="D19" s="55">
        <v>1</v>
      </c>
      <c r="E19" s="40" t="s">
        <v>170</v>
      </c>
      <c r="F19" s="35" t="s">
        <v>147</v>
      </c>
      <c r="G19" s="41">
        <v>1</v>
      </c>
      <c r="H19" s="66" t="s">
        <v>174</v>
      </c>
      <c r="I19" s="35" t="s">
        <v>147</v>
      </c>
      <c r="J19" s="41">
        <v>1</v>
      </c>
      <c r="K19" s="40" t="s">
        <v>174</v>
      </c>
      <c r="L19" s="35" t="s">
        <v>147</v>
      </c>
      <c r="M19" s="41">
        <v>1</v>
      </c>
      <c r="N19" s="40" t="s">
        <v>174</v>
      </c>
      <c r="O19" s="35" t="s">
        <v>147</v>
      </c>
      <c r="P19" s="41">
        <v>1</v>
      </c>
      <c r="Q19" s="40" t="s">
        <v>174</v>
      </c>
      <c r="R19" s="35" t="s">
        <v>147</v>
      </c>
      <c r="S19" s="41">
        <v>1</v>
      </c>
      <c r="T19" s="40" t="s">
        <v>174</v>
      </c>
      <c r="U19" s="35" t="s">
        <v>147</v>
      </c>
      <c r="V19" s="41">
        <v>1</v>
      </c>
      <c r="W19" s="60" t="s">
        <v>174</v>
      </c>
      <c r="X19" s="35" t="s">
        <v>147</v>
      </c>
      <c r="Y19" s="36">
        <v>1</v>
      </c>
      <c r="Z19" s="35" t="s">
        <v>174</v>
      </c>
      <c r="AA19" s="35" t="s">
        <v>147</v>
      </c>
      <c r="AB19" s="36">
        <v>1</v>
      </c>
      <c r="AC19" s="35" t="s">
        <v>174</v>
      </c>
      <c r="AD19" s="35" t="s">
        <v>147</v>
      </c>
      <c r="AE19" s="36">
        <v>1</v>
      </c>
      <c r="AF19" s="35" t="s">
        <v>174</v>
      </c>
      <c r="AG19" s="35" t="s">
        <v>147</v>
      </c>
      <c r="AH19" s="36">
        <v>1</v>
      </c>
      <c r="AI19" s="35" t="s">
        <v>174</v>
      </c>
      <c r="AJ19" s="35" t="s">
        <v>147</v>
      </c>
      <c r="AK19" s="41">
        <v>1</v>
      </c>
    </row>
    <row r="20" spans="2:37" ht="27">
      <c r="B20" s="40" t="s">
        <v>171</v>
      </c>
      <c r="C20" s="35" t="s">
        <v>147</v>
      </c>
      <c r="D20" s="55">
        <v>4</v>
      </c>
      <c r="E20" s="40" t="s">
        <v>171</v>
      </c>
      <c r="F20" s="35" t="s">
        <v>147</v>
      </c>
      <c r="G20" s="41">
        <v>4</v>
      </c>
      <c r="H20" s="40" t="s">
        <v>171</v>
      </c>
      <c r="I20" s="35" t="s">
        <v>147</v>
      </c>
      <c r="J20" s="41">
        <v>4</v>
      </c>
      <c r="K20" s="40" t="s">
        <v>171</v>
      </c>
      <c r="L20" s="35" t="s">
        <v>147</v>
      </c>
      <c r="M20" s="41">
        <v>4</v>
      </c>
      <c r="N20" s="40" t="s">
        <v>171</v>
      </c>
      <c r="O20" s="35" t="s">
        <v>147</v>
      </c>
      <c r="P20" s="41">
        <v>4</v>
      </c>
      <c r="Q20" s="40" t="s">
        <v>171</v>
      </c>
      <c r="R20" s="35" t="s">
        <v>147</v>
      </c>
      <c r="S20" s="41">
        <v>4</v>
      </c>
      <c r="T20" s="40" t="s">
        <v>171</v>
      </c>
      <c r="U20" s="35" t="s">
        <v>147</v>
      </c>
      <c r="V20" s="41">
        <v>4</v>
      </c>
      <c r="W20" s="60" t="s">
        <v>171</v>
      </c>
      <c r="X20" s="35" t="s">
        <v>147</v>
      </c>
      <c r="Y20" s="36">
        <v>4</v>
      </c>
      <c r="Z20" s="35" t="s">
        <v>171</v>
      </c>
      <c r="AA20" s="35" t="s">
        <v>147</v>
      </c>
      <c r="AB20" s="36">
        <v>4</v>
      </c>
      <c r="AC20" s="35" t="s">
        <v>171</v>
      </c>
      <c r="AD20" s="35" t="s">
        <v>147</v>
      </c>
      <c r="AE20" s="36">
        <v>4</v>
      </c>
      <c r="AF20" s="35" t="s">
        <v>171</v>
      </c>
      <c r="AG20" s="35" t="s">
        <v>147</v>
      </c>
      <c r="AH20" s="36">
        <v>4</v>
      </c>
      <c r="AI20" s="35" t="s">
        <v>171</v>
      </c>
      <c r="AJ20" s="35" t="s">
        <v>147</v>
      </c>
      <c r="AK20" s="41">
        <v>4</v>
      </c>
    </row>
    <row r="21" spans="2:37">
      <c r="B21" s="42"/>
      <c r="C21" s="37"/>
      <c r="D21" s="56">
        <f>SUM(D5:D20)</f>
        <v>19</v>
      </c>
      <c r="E21" s="42"/>
      <c r="F21" s="37"/>
      <c r="G21" s="43">
        <f>SUM(G5:G20)</f>
        <v>19</v>
      </c>
      <c r="H21" s="42"/>
      <c r="I21" s="37"/>
      <c r="J21" s="43">
        <f>SUM(J5:J20)</f>
        <v>19</v>
      </c>
      <c r="K21" s="42"/>
      <c r="L21" s="37"/>
      <c r="M21" s="43">
        <f>SUM(M5:M20)</f>
        <v>19</v>
      </c>
      <c r="N21" s="42"/>
      <c r="O21" s="37"/>
      <c r="P21" s="43">
        <f>SUM(P5:P20)</f>
        <v>19</v>
      </c>
      <c r="Q21" s="42"/>
      <c r="R21" s="37"/>
      <c r="S21" s="43">
        <f>SUM(S5:S20)</f>
        <v>19</v>
      </c>
      <c r="T21" s="42"/>
      <c r="U21" s="37"/>
      <c r="V21" s="43">
        <f>SUM(V5:V20)</f>
        <v>19</v>
      </c>
      <c r="W21" s="62"/>
      <c r="X21" s="37"/>
      <c r="Y21" s="37">
        <f>SUM(Y5:Y20)</f>
        <v>19</v>
      </c>
      <c r="Z21" s="37"/>
      <c r="AA21" s="37"/>
      <c r="AB21" s="37">
        <f>SUM(AB5:AB20)</f>
        <v>19</v>
      </c>
      <c r="AC21" s="37"/>
      <c r="AD21" s="37"/>
      <c r="AE21" s="37">
        <f>SUM(AE5:AE20)</f>
        <v>19</v>
      </c>
      <c r="AF21" s="37"/>
      <c r="AG21" s="37"/>
      <c r="AH21" s="37">
        <f>SUM(AH5:AH20)</f>
        <v>19</v>
      </c>
      <c r="AI21" s="37"/>
      <c r="AJ21" s="37"/>
      <c r="AK21" s="43">
        <f>SUM(AK5:AK20)</f>
        <v>19</v>
      </c>
    </row>
    <row r="22" spans="2:37" ht="14.25" thickBot="1">
      <c r="B22" s="3"/>
      <c r="C22" s="4"/>
      <c r="D22" s="4"/>
      <c r="E22" s="3"/>
      <c r="F22" s="4"/>
      <c r="G22" s="5"/>
      <c r="H22" s="3"/>
      <c r="I22" s="4"/>
      <c r="J22" s="5"/>
      <c r="K22" s="3"/>
      <c r="L22" s="4"/>
      <c r="M22" s="5"/>
      <c r="N22" s="3"/>
      <c r="O22" s="4"/>
      <c r="P22" s="5"/>
      <c r="Q22" s="3"/>
      <c r="R22" s="4"/>
      <c r="S22" s="5"/>
      <c r="T22" s="3"/>
      <c r="U22" s="4"/>
      <c r="V22" s="5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5"/>
    </row>
  </sheetData>
  <mergeCells count="13">
    <mergeCell ref="AI3:AK3"/>
    <mergeCell ref="Q3:S3"/>
    <mergeCell ref="T3:V3"/>
    <mergeCell ref="W3:Y3"/>
    <mergeCell ref="Z3:AB3"/>
    <mergeCell ref="AC3:AE3"/>
    <mergeCell ref="AF3:AH3"/>
    <mergeCell ref="B2:J2"/>
    <mergeCell ref="B3:D3"/>
    <mergeCell ref="E3:G3"/>
    <mergeCell ref="H3:J3"/>
    <mergeCell ref="K3:M3"/>
    <mergeCell ref="N3:P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日投料批次</vt:lpstr>
      <vt:lpstr>领料单</vt:lpstr>
      <vt:lpstr>配置</vt:lpstr>
      <vt:lpstr>55#红双喜（高扬自营）</vt:lpstr>
      <vt:lpstr>99#红双喜（8mg高扬自营）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daisy</dc:creator>
  <cp:lastModifiedBy>rake</cp:lastModifiedBy>
  <dcterms:created xsi:type="dcterms:W3CDTF">2013-08-23T09:34:52Z</dcterms:created>
  <dcterms:modified xsi:type="dcterms:W3CDTF">2014-08-21T09:15:34Z</dcterms:modified>
</cp:coreProperties>
</file>